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iamWitbooi\Desktop\Geyser Project\"/>
    </mc:Choice>
  </mc:AlternateContent>
  <xr:revisionPtr revIDLastSave="0" documentId="8_{A168BFB2-4904-4633-BB6B-B32037B6AC17}" xr6:coauthVersionLast="47" xr6:coauthVersionMax="47" xr10:uidLastSave="{00000000-0000-0000-0000-000000000000}"/>
  <bookViews>
    <workbookView xWindow="-120" yWindow="-120" windowWidth="29040" windowHeight="15720" xr2:uid="{DCB766FD-4510-4F03-BA19-383C5DBCD4C8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Sheet1!$B$2:$K$31</definedName>
    <definedName name="_xlnm._FilterDatabase" localSheetId="1" hidden="1">Sheet2!$A$2:$N$33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7" i="1"/>
  <c r="F39" i="1"/>
  <c r="G39" i="1" s="1"/>
  <c r="F36" i="1"/>
  <c r="G36" i="1" s="1"/>
  <c r="F35" i="1"/>
  <c r="G35" i="1" s="1"/>
  <c r="S16" i="1"/>
  <c r="S17" i="1" s="1"/>
  <c r="G29" i="1"/>
  <c r="G28" i="1"/>
  <c r="G27" i="1"/>
  <c r="G26" i="1"/>
  <c r="G25" i="1"/>
  <c r="G24" i="1"/>
  <c r="G23" i="1"/>
  <c r="D22" i="1"/>
  <c r="G22" i="1" s="1"/>
  <c r="G21" i="1"/>
  <c r="D19" i="1"/>
  <c r="D18" i="1"/>
  <c r="G18" i="1" s="1"/>
  <c r="D20" i="1"/>
  <c r="G20" i="1" s="1"/>
  <c r="G19" i="1"/>
  <c r="G17" i="1"/>
  <c r="G16" i="1"/>
  <c r="O17" i="1"/>
  <c r="G15" i="1"/>
  <c r="G14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G13" i="1"/>
  <c r="F12" i="1"/>
  <c r="G12" i="1" s="1"/>
  <c r="O14" i="1"/>
  <c r="C12" i="1"/>
  <c r="F8" i="1"/>
  <c r="G8" i="1" s="1"/>
  <c r="O10" i="1"/>
  <c r="F9" i="1"/>
  <c r="G9" i="1" s="1"/>
  <c r="O11" i="1"/>
  <c r="F10" i="1"/>
  <c r="G10" i="1" s="1"/>
  <c r="O12" i="1"/>
  <c r="F11" i="1"/>
  <c r="G11" i="1" s="1"/>
  <c r="O13" i="1"/>
  <c r="C8" i="1"/>
  <c r="C9" i="1"/>
  <c r="C10" i="1"/>
  <c r="C11" i="1"/>
  <c r="O9" i="1"/>
  <c r="F7" i="1"/>
  <c r="G7" i="1" s="1"/>
  <c r="N9" i="1" s="1"/>
  <c r="C7" i="1"/>
  <c r="O8" i="1"/>
  <c r="F6" i="1"/>
  <c r="G6" i="1" s="1"/>
  <c r="N8" i="1" s="1"/>
  <c r="C6" i="1"/>
  <c r="O5" i="1"/>
  <c r="O6" i="1"/>
  <c r="O7" i="1"/>
  <c r="O4" i="1"/>
  <c r="G30" i="1"/>
  <c r="F31" i="1"/>
  <c r="G31" i="1" s="1"/>
  <c r="C31" i="1"/>
  <c r="F5" i="1"/>
  <c r="G5" i="1" s="1"/>
  <c r="C5" i="1"/>
  <c r="F4" i="1"/>
  <c r="G4" i="1" s="1"/>
  <c r="C4" i="1"/>
  <c r="F3" i="1"/>
  <c r="G3" i="1" s="1"/>
  <c r="N4" i="1" s="1"/>
  <c r="C3" i="1"/>
  <c r="N11" i="1" l="1"/>
  <c r="G40" i="1"/>
  <c r="G43" i="1" s="1"/>
  <c r="N14" i="1"/>
  <c r="N13" i="1"/>
  <c r="N7" i="1"/>
  <c r="N3" i="1"/>
  <c r="N12" i="1"/>
  <c r="N16" i="1"/>
  <c r="N6" i="1"/>
  <c r="N10" i="1"/>
  <c r="N15" i="1"/>
  <c r="G32" i="1"/>
  <c r="G42" i="1" s="1"/>
  <c r="G44" i="1" l="1"/>
  <c r="N5" i="1"/>
  <c r="R19" i="1"/>
</calcChain>
</file>

<file path=xl/sharedStrings.xml><?xml version="1.0" encoding="utf-8"?>
<sst xmlns="http://schemas.openxmlformats.org/spreadsheetml/2006/main" count="399" uniqueCount="157">
  <si>
    <t>PoC Count:</t>
  </si>
  <si>
    <t>Part Number</t>
  </si>
  <si>
    <t>Description</t>
  </si>
  <si>
    <t>Qty</t>
  </si>
  <si>
    <t>UoM</t>
  </si>
  <si>
    <t>Cost /UoM</t>
  </si>
  <si>
    <t>Cost/PoC</t>
  </si>
  <si>
    <t>Supplier</t>
  </si>
  <si>
    <t>Supplier Stock Code</t>
  </si>
  <si>
    <t>Type</t>
  </si>
  <si>
    <t>Qty/ PoC Count</t>
  </si>
  <si>
    <t>Cost/PoC Count</t>
  </si>
  <si>
    <t xml:space="preserve"> SoH</t>
  </si>
  <si>
    <t>Comments</t>
  </si>
  <si>
    <t>33-2000174</t>
  </si>
  <si>
    <t>ea</t>
  </si>
  <si>
    <t>SZ Stores</t>
  </si>
  <si>
    <t>-</t>
  </si>
  <si>
    <t>SZ Stock</t>
  </si>
  <si>
    <t>Quote Required</t>
  </si>
  <si>
    <t>31-2001644</t>
  </si>
  <si>
    <t>31-2000160</t>
  </si>
  <si>
    <t>37-1001023-150</t>
  </si>
  <si>
    <t>37-1001105</t>
  </si>
  <si>
    <t>31-2000290</t>
  </si>
  <si>
    <t>31-2001692</t>
  </si>
  <si>
    <t>31-2000982</t>
  </si>
  <si>
    <t>31-2000948</t>
  </si>
  <si>
    <t>32-2000374</t>
  </si>
  <si>
    <t>m</t>
  </si>
  <si>
    <t>Geyserwise Electronic Thermostat-Standard Probe GEY013</t>
  </si>
  <si>
    <t>Plumblink</t>
  </si>
  <si>
    <t>GEY013</t>
  </si>
  <si>
    <t>CC Purchase</t>
  </si>
  <si>
    <t>Raspberry Pi 4 Model B 8GB</t>
  </si>
  <si>
    <t>PiShop</t>
  </si>
  <si>
    <t>Pi48 B 8GB board</t>
  </si>
  <si>
    <t>Purchase</t>
  </si>
  <si>
    <t>Resistors (330 Ohm 5%) (10 pack)</t>
  </si>
  <si>
    <t>Resistor 330</t>
  </si>
  <si>
    <t>Mixed 5mm diffused LED (10 pcs)</t>
  </si>
  <si>
    <t>mixed LED 10x5mm</t>
  </si>
  <si>
    <t>Raspberry Pi A2-Class 64GB SD Cards - Blank</t>
  </si>
  <si>
    <t>RPi A2 64GB blank</t>
  </si>
  <si>
    <t>JST-XH 2.54mm 3 Pin Connector (50 Pack)</t>
  </si>
  <si>
    <t>MicroRobotics</t>
  </si>
  <si>
    <t>JST-XH-3P-ST</t>
  </si>
  <si>
    <t>SIP 40 Way Header Kit - White (40pcs)</t>
  </si>
  <si>
    <t>HK-40P-254-WHI</t>
  </si>
  <si>
    <t>2x20 40-Pin Female Header (4 Pack)</t>
  </si>
  <si>
    <t>DIL-2X20-FEM</t>
  </si>
  <si>
    <t>Halo Metal Switch, 16mm, Momentary, Blue LED 3-12V, Black</t>
  </si>
  <si>
    <t>ALS2-16F-MOMBLU-6V</t>
  </si>
  <si>
    <t>JST-SM 2.5mm 2PIN Connector Kit, 32 Items</t>
  </si>
  <si>
    <t>JST-SM-2P-KIT</t>
  </si>
  <si>
    <t>Dual Red &amp; Black Wire 20AWG - 5 meter</t>
  </si>
  <si>
    <t>WIRE-RB-20AWG</t>
  </si>
  <si>
    <t>DUPONT 2 Pin Wire with Connector 30cm (4 Pack)</t>
  </si>
  <si>
    <t>DUP-2P-30CM</t>
  </si>
  <si>
    <t>Expandable Wire Braid - 3mm (5 meter)</t>
  </si>
  <si>
    <t>BRAID-3MM</t>
  </si>
  <si>
    <t>Fuse 5A 20mm (4 Pack)</t>
  </si>
  <si>
    <t>FUSE20-5A</t>
  </si>
  <si>
    <t>18B20 Digital Temperature Sensor, 1m Cable</t>
  </si>
  <si>
    <t>Mantech</t>
  </si>
  <si>
    <t>Mean Well HDR-15-5</t>
  </si>
  <si>
    <t>PoC PCBA</t>
  </si>
  <si>
    <t>JLC</t>
  </si>
  <si>
    <t>PCB, PCBA &amp; Shipping</t>
  </si>
  <si>
    <t>6 Way IP65 Surface Mount DB</t>
  </si>
  <si>
    <t>EM</t>
  </si>
  <si>
    <t>VE106L</t>
  </si>
  <si>
    <t>31-2000162</t>
  </si>
  <si>
    <t>PMGB25-18B</t>
  </si>
  <si>
    <t>Following items were repurposed from components already available in R&amp;D:</t>
  </si>
  <si>
    <t>Components required for build of 31 Temp. Control PoCs:</t>
  </si>
  <si>
    <t>Components available in R&amp;D repurposed:</t>
  </si>
  <si>
    <t>Total Budget Required:</t>
  </si>
  <si>
    <t>3 Probe Config</t>
  </si>
  <si>
    <t>1 Probe Config</t>
  </si>
  <si>
    <t xml:space="preserve"> PoC Units</t>
  </si>
  <si>
    <t>Item Description</t>
  </si>
  <si>
    <t>Category</t>
  </si>
  <si>
    <t>Pricing</t>
  </si>
  <si>
    <t>Unit cost</t>
  </si>
  <si>
    <t>Total Cost</t>
  </si>
  <si>
    <t>Total Price</t>
  </si>
  <si>
    <t>Qty in R&amp;D</t>
  </si>
  <si>
    <t>Qty Needed</t>
  </si>
  <si>
    <t>Total Part Cost</t>
  </si>
  <si>
    <t>Note</t>
  </si>
  <si>
    <t>Enclosure, 160x140x81, IP65, Grey</t>
  </si>
  <si>
    <t>46-200xxxx</t>
  </si>
  <si>
    <t>Hardware (Maurghan)</t>
  </si>
  <si>
    <t>Enclosure</t>
  </si>
  <si>
    <t>1</t>
  </si>
  <si>
    <t>SZ</t>
  </si>
  <si>
    <t>POWER METER, RELAY, RS485</t>
  </si>
  <si>
    <t>Power Meter</t>
  </si>
  <si>
    <t>Terminal, Rail Mount, 4mm2, Grey</t>
  </si>
  <si>
    <t>Mount</t>
  </si>
  <si>
    <t>2</t>
  </si>
  <si>
    <t>GLAND, 20, BLACK</t>
  </si>
  <si>
    <t>Pass through</t>
  </si>
  <si>
    <t>GLAND, 25, BLACK</t>
  </si>
  <si>
    <t>Cable Assy, Singleflex, 2.5mm2, Bootlace-Bootlace, Black</t>
  </si>
  <si>
    <t>Cable Assembly</t>
  </si>
  <si>
    <t>Cable Assy, 0.75mm2, Bootlace-Bootlace-Ring</t>
  </si>
  <si>
    <t>Ferrule, Bootlace, Insulated, 2.5x10</t>
  </si>
  <si>
    <t>Deployment Stock</t>
  </si>
  <si>
    <t>Connector</t>
  </si>
  <si>
    <t>6</t>
  </si>
  <si>
    <t>Ferrule, Bootlace, Insulated, 1x8, Twin</t>
  </si>
  <si>
    <t>4</t>
  </si>
  <si>
    <t>Ferrule, Bootlace, Insulated, 0.5x8</t>
  </si>
  <si>
    <t>12</t>
  </si>
  <si>
    <t>Ferrule, Bootlace, Insulated, 10x14, Twin</t>
  </si>
  <si>
    <t>CABLE, CAT5, 4 PAIR</t>
  </si>
  <si>
    <t>Cable</t>
  </si>
  <si>
    <t>Getserwise Electronic Thermostat-Standard Probe GEY013</t>
  </si>
  <si>
    <t>Electronics</t>
  </si>
  <si>
    <t>Resistors (330 Ohm 5%)</t>
  </si>
  <si>
    <t>Component</t>
  </si>
  <si>
    <t>Pi Shop</t>
  </si>
  <si>
    <t>* Moved to SMD on PCB</t>
  </si>
  <si>
    <t>Mixed 5mm diffused LED</t>
  </si>
  <si>
    <t>SBC</t>
  </si>
  <si>
    <t>* R&amp;D has 5x 4GB models</t>
  </si>
  <si>
    <t>SD Card</t>
  </si>
  <si>
    <t>Connectors</t>
  </si>
  <si>
    <t>3</t>
  </si>
  <si>
    <t>Micro Robotics</t>
  </si>
  <si>
    <t>SIP 40 Way Header Kit - White</t>
  </si>
  <si>
    <t>23</t>
  </si>
  <si>
    <t>2x20 40-Pin Female Header</t>
  </si>
  <si>
    <t>Dual Red &amp; Black Wire 20AWG</t>
  </si>
  <si>
    <t>Expandable Wire Braid - 3mm</t>
  </si>
  <si>
    <t>Cable Management</t>
  </si>
  <si>
    <t>Fuse 5A 20mm</t>
  </si>
  <si>
    <t>Fuse</t>
  </si>
  <si>
    <t>Temperature Sensor</t>
  </si>
  <si>
    <t>PSU</t>
  </si>
  <si>
    <t>JLC PCB</t>
  </si>
  <si>
    <t>PCB Board</t>
  </si>
  <si>
    <t>JLCPCB</t>
  </si>
  <si>
    <t>JLC PCBA</t>
  </si>
  <si>
    <t>PCB Assembly + Parts</t>
  </si>
  <si>
    <t>JLC PCB Shipping</t>
  </si>
  <si>
    <t>Shipping</t>
  </si>
  <si>
    <t>Logistics</t>
  </si>
  <si>
    <t>$1 = R 18</t>
  </si>
  <si>
    <t>USD</t>
  </si>
  <si>
    <t>ZAR</t>
  </si>
  <si>
    <t>Per Unit</t>
  </si>
  <si>
    <t>PCB's</t>
  </si>
  <si>
    <t>Assembly + Parts</t>
  </si>
  <si>
    <t>Shippling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</si>
</sst>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43" formatCode="_-* #,##0.00_-;\-* #,##0.0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i/>
      <sz val="8"/>
      <color theme="1"/>
      <name val="Calibri"/>
      <family val="2"/>
    </font>
    <font>
      <b/>
      <sz val="7"/>
      <color theme="1"/>
      <name val="Calibri"/>
      <family val="2"/>
    </font>
    <font>
      <sz val="7"/>
      <color theme="1"/>
      <name val="Calibri"/>
      <family val="2"/>
    </font>
    <font>
      <i/>
      <sz val="7"/>
      <color theme="1"/>
      <name val="Calibri"/>
      <family val="2"/>
    </font>
    <font>
      <i/>
      <sz val="11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2" xfId="0" quotePrefix="1" applyFont="1" applyBorder="1"/>
    <xf numFmtId="0" fontId="3" fillId="0" borderId="3" xfId="0" applyFont="1" applyBorder="1"/>
    <xf numFmtId="0" fontId="3" fillId="0" borderId="0" xfId="0" applyFont="1"/>
    <xf numFmtId="0" fontId="4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2" fontId="3" fillId="0" borderId="0" xfId="0" applyNumberFormat="1" applyFont="1"/>
    <xf numFmtId="0" fontId="3" fillId="0" borderId="0" xfId="0" quotePrefix="1" applyFont="1"/>
    <xf numFmtId="0" fontId="5" fillId="2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43" fontId="6" fillId="0" borderId="2" xfId="1" applyFont="1" applyFill="1" applyBorder="1" applyAlignment="1">
      <alignment horizontal="right" vertical="center"/>
    </xf>
    <xf numFmtId="43" fontId="6" fillId="0" borderId="3" xfId="1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6" fillId="0" borderId="3" xfId="0" quotePrefix="1" applyFont="1" applyBorder="1" applyAlignment="1">
      <alignment horizontal="left" vertical="center"/>
    </xf>
    <xf numFmtId="0" fontId="3" fillId="0" borderId="3" xfId="0" quotePrefix="1" applyFont="1" applyBorder="1"/>
    <xf numFmtId="0" fontId="6" fillId="0" borderId="0" xfId="0" applyFont="1"/>
    <xf numFmtId="0" fontId="7" fillId="0" borderId="0" xfId="0" applyFont="1"/>
    <xf numFmtId="0" fontId="6" fillId="0" borderId="4" xfId="0" applyFont="1" applyBorder="1" applyAlignment="1">
      <alignment horizontal="center" vertical="center" wrapText="1"/>
    </xf>
    <xf numFmtId="0" fontId="6" fillId="0" borderId="4" xfId="0" quotePrefix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14" fontId="0" fillId="0" borderId="0" xfId="0" applyNumberFormat="1"/>
    <xf numFmtId="44" fontId="0" fillId="0" borderId="0" xfId="0" applyNumberFormat="1"/>
    <xf numFmtId="0" fontId="6" fillId="0" borderId="4" xfId="0" quotePrefix="1" applyFont="1" applyBorder="1" applyAlignment="1">
      <alignment horizontal="left" vertical="center"/>
    </xf>
    <xf numFmtId="43" fontId="0" fillId="0" borderId="0" xfId="0" applyNumberFormat="1"/>
    <xf numFmtId="0" fontId="8" fillId="0" borderId="0" xfId="0" applyFont="1"/>
    <xf numFmtId="0" fontId="7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/>
    </xf>
    <xf numFmtId="43" fontId="7" fillId="0" borderId="8" xfId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left" vertical="center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43" fontId="7" fillId="0" borderId="10" xfId="1" applyFont="1" applyFill="1" applyBorder="1" applyAlignment="1">
      <alignment horizontal="right" vertical="center"/>
    </xf>
    <xf numFmtId="0" fontId="9" fillId="0" borderId="0" xfId="0" applyFont="1"/>
    <xf numFmtId="44" fontId="7" fillId="0" borderId="11" xfId="2" applyFont="1" applyFill="1" applyBorder="1" applyAlignment="1">
      <alignment horizontal="right" vertical="center"/>
    </xf>
    <xf numFmtId="43" fontId="6" fillId="3" borderId="2" xfId="1" applyFont="1" applyFill="1" applyBorder="1" applyAlignment="1">
      <alignment horizontal="right" vertical="center"/>
    </xf>
    <xf numFmtId="44" fontId="5" fillId="3" borderId="6" xfId="2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44" fontId="10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right"/>
    </xf>
    <xf numFmtId="44" fontId="11" fillId="0" borderId="11" xfId="0" applyNumberFormat="1" applyFont="1" applyBorder="1"/>
    <xf numFmtId="0" fontId="7" fillId="0" borderId="9" xfId="0" applyFont="1" applyBorder="1" applyAlignment="1">
      <alignment horizontal="left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ge0.sharepoint.com/sites/StageZeroRDProjects/Shared%20Documents/General/Admin/Procurement/Request,%20Stock/Inventory.xlsx" TargetMode="External"/><Relationship Id="rId1" Type="http://schemas.openxmlformats.org/officeDocument/2006/relationships/externalLinkPath" Target="https://stage0.sharepoint.com/sites/StageZeroRDProjects/Shared%20Documents/General/Admin/Procurement/Request,%20Stock/Invent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5I99hRKNd0ioqoCyDvesuq8QwLaF7cxJsWobrWA65cOUc0146GxBSqe59DBk2nOs" itemId="015ZEEZJIWPIKJZKA4WRG3WVOWZROTZUKT">
      <xxl21:absoluteUrl r:id="rId2"/>
    </xxl21:alternateUrls>
    <sheetNames>
      <sheetName val="Sheet1"/>
    </sheetNames>
    <sheetDataSet>
      <sheetData sheetId="0">
        <row r="1">
          <cell r="A1" t="str">
            <v>No.</v>
          </cell>
          <cell r="B1" t="str">
            <v>Description</v>
          </cell>
          <cell r="E1" t="str">
            <v>Unit Cost</v>
          </cell>
          <cell r="G1" t="str">
            <v>WAR-CTF-ST
WAR-CTD-MD
WAR-CTF-FG</v>
          </cell>
        </row>
        <row r="2">
          <cell r="A2" t="str">
            <v>0</v>
          </cell>
          <cell r="B2" t="str">
            <v/>
          </cell>
          <cell r="E2">
            <v>0</v>
          </cell>
          <cell r="G2">
            <v>0</v>
          </cell>
        </row>
        <row r="3">
          <cell r="A3" t="str">
            <v>15-2000546</v>
          </cell>
          <cell r="B3" t="str">
            <v>2410 SMT FUSE</v>
          </cell>
          <cell r="E3">
            <v>2.44</v>
          </cell>
          <cell r="G3">
            <v>0</v>
          </cell>
        </row>
        <row r="4">
          <cell r="A4" t="str">
            <v>16-2000269</v>
          </cell>
          <cell r="B4" t="str">
            <v>SWITCH, PUSH BUTTON, NO, 1A, 125V, SOLDER TERMINALS, BLACK</v>
          </cell>
          <cell r="E4">
            <v>6.9</v>
          </cell>
          <cell r="G4">
            <v>1903</v>
          </cell>
        </row>
        <row r="5">
          <cell r="A5" t="str">
            <v>16-2000270</v>
          </cell>
          <cell r="B5" t="str">
            <v>SWITCH, LIMIT SWITCH</v>
          </cell>
          <cell r="E5">
            <v>12.583500000000001</v>
          </cell>
          <cell r="G5">
            <v>2059</v>
          </cell>
        </row>
        <row r="6">
          <cell r="A6" t="str">
            <v>16-2000734</v>
          </cell>
          <cell r="B6" t="str">
            <v>SWITCH, PUSH BUTTON, NO, 1A, 125V, SOLDER TERMINALS, RED</v>
          </cell>
          <cell r="E6">
            <v>6.9</v>
          </cell>
          <cell r="G6">
            <v>1073</v>
          </cell>
        </row>
        <row r="7">
          <cell r="A7" t="str">
            <v>16-2000735</v>
          </cell>
          <cell r="B7" t="str">
            <v>SWITCH, PUSH BUTTON, NO, 1A, 125V, SOLDER TERMINALS, YELLOW</v>
          </cell>
          <cell r="E7">
            <v>6.1573200000000003</v>
          </cell>
          <cell r="G7">
            <v>1352</v>
          </cell>
        </row>
        <row r="8">
          <cell r="A8" t="str">
            <v>16-2000736</v>
          </cell>
          <cell r="B8" t="str">
            <v>SWITCH, PUSH BUTTON, NO, 1A, 125V, SOLDER TERMINALS, BLUE</v>
          </cell>
          <cell r="E8">
            <v>5</v>
          </cell>
          <cell r="G8">
            <v>0</v>
          </cell>
        </row>
        <row r="9">
          <cell r="A9" t="str">
            <v>16-2000985</v>
          </cell>
          <cell r="B9" t="str">
            <v>SWITCH, PUSH BUTTON, MOMENTARY, NO, SPST, 8VDC, 19MM DIA, RIM LIGHT</v>
          </cell>
          <cell r="E9">
            <v>0</v>
          </cell>
          <cell r="G9">
            <v>0</v>
          </cell>
        </row>
        <row r="10">
          <cell r="A10" t="str">
            <v>17-2000549</v>
          </cell>
          <cell r="B10" t="str">
            <v>RELAY, 12VDC, SPDT</v>
          </cell>
          <cell r="E10">
            <v>18.579999999999998</v>
          </cell>
          <cell r="G10">
            <v>0</v>
          </cell>
        </row>
        <row r="11">
          <cell r="A11" t="str">
            <v>17-2000685</v>
          </cell>
          <cell r="B11" t="str">
            <v>SWITCHING REGULATOR, DC-DC CONVERTOR, OUTPUT (V/) 5-0.5</v>
          </cell>
          <cell r="E11">
            <v>51.470080000000003</v>
          </cell>
          <cell r="G11">
            <v>240</v>
          </cell>
        </row>
        <row r="12">
          <cell r="A12" t="str">
            <v>18-2000143</v>
          </cell>
          <cell r="B12" t="str">
            <v>AC/DC POWER SUPPLY - 1 OUTPUT - 5V@4A - 20W - MODULE.</v>
          </cell>
          <cell r="E12">
            <v>212.27878999999999</v>
          </cell>
          <cell r="G12">
            <v>1040</v>
          </cell>
        </row>
        <row r="13">
          <cell r="A13" t="str">
            <v>18-2000551</v>
          </cell>
          <cell r="B13" t="str">
            <v>AC/DC CONVERTER</v>
          </cell>
          <cell r="E13">
            <v>19.689769999999999</v>
          </cell>
          <cell r="G13">
            <v>0</v>
          </cell>
        </row>
        <row r="14">
          <cell r="A14" t="str">
            <v>18-2001624</v>
          </cell>
          <cell r="B14" t="str">
            <v>Enclosed PSU, 5V,12V,24V</v>
          </cell>
          <cell r="E14">
            <v>500</v>
          </cell>
          <cell r="G14">
            <v>0</v>
          </cell>
        </row>
        <row r="15">
          <cell r="A15" t="str">
            <v>18-2001847</v>
          </cell>
          <cell r="B15" t="str">
            <v>Power Supply, 51W, 220Vac</v>
          </cell>
          <cell r="E15">
            <v>384.52</v>
          </cell>
          <cell r="G15">
            <v>10</v>
          </cell>
        </row>
        <row r="16">
          <cell r="A16" t="str">
            <v>19-2000001</v>
          </cell>
          <cell r="B16" t="str">
            <v>BATTERY CELL, 100AH</v>
          </cell>
          <cell r="E16">
            <v>411.70749000000001</v>
          </cell>
          <cell r="G16">
            <v>0</v>
          </cell>
        </row>
        <row r="17">
          <cell r="A17" t="str">
            <v>19-2000276</v>
          </cell>
          <cell r="B17" t="str">
            <v>BATTERY, 18650 LI-ION CELL 2200MAH</v>
          </cell>
          <cell r="E17">
            <v>36.964599999999997</v>
          </cell>
          <cell r="G17">
            <v>4467</v>
          </cell>
        </row>
        <row r="18">
          <cell r="A18" t="str">
            <v>19-2001103</v>
          </cell>
          <cell r="B18" t="str">
            <v>Battery, Coin Cell, Li, 3V</v>
          </cell>
          <cell r="E18">
            <v>14.25</v>
          </cell>
          <cell r="G18">
            <v>300</v>
          </cell>
        </row>
        <row r="19">
          <cell r="A19" t="str">
            <v>20-1000206</v>
          </cell>
          <cell r="B19" t="str">
            <v>BATTERY CELLS, TESTED</v>
          </cell>
          <cell r="E19">
            <v>699.28386</v>
          </cell>
          <cell r="G19">
            <v>0</v>
          </cell>
        </row>
        <row r="20">
          <cell r="A20" t="str">
            <v>21-2000073</v>
          </cell>
          <cell r="B20" t="str">
            <v>RES 100K OHM 1% 1/10W 0603</v>
          </cell>
          <cell r="E20">
            <v>0</v>
          </cell>
          <cell r="G20">
            <v>0</v>
          </cell>
        </row>
        <row r="21">
          <cell r="A21" t="str">
            <v>21-2000075</v>
          </cell>
          <cell r="B21" t="str">
            <v>RES 10K OHM 1% 1/10W 0603</v>
          </cell>
          <cell r="E21">
            <v>0</v>
          </cell>
          <cell r="G21">
            <v>0</v>
          </cell>
        </row>
        <row r="22">
          <cell r="A22" t="str">
            <v>21-2000076</v>
          </cell>
          <cell r="B22" t="str">
            <v>RES 10 OHM 1% 1/10W 0603</v>
          </cell>
          <cell r="E22">
            <v>5.0729999999999997E-2</v>
          </cell>
          <cell r="G22">
            <v>0</v>
          </cell>
        </row>
        <row r="23">
          <cell r="A23" t="str">
            <v>21-2000106</v>
          </cell>
          <cell r="B23" t="str">
            <v>RES 0 OHM JUMPER 1/10W 0603</v>
          </cell>
          <cell r="E23">
            <v>3.1E-2</v>
          </cell>
          <cell r="G23">
            <v>0</v>
          </cell>
        </row>
        <row r="24">
          <cell r="A24" t="str">
            <v>21-2000107</v>
          </cell>
          <cell r="B24" t="str">
            <v>RES 115K OHM 1% 1/10W 0603</v>
          </cell>
          <cell r="E24">
            <v>5.4330000000000003E-2</v>
          </cell>
          <cell r="G24">
            <v>0</v>
          </cell>
        </row>
        <row r="25">
          <cell r="A25" t="str">
            <v>21-2000108</v>
          </cell>
          <cell r="B25" t="str">
            <v>RES 75K OHM 1% 1/10W 0603</v>
          </cell>
          <cell r="E25">
            <v>6.5060000000000007E-2</v>
          </cell>
          <cell r="G25">
            <v>0</v>
          </cell>
        </row>
        <row r="26">
          <cell r="A26" t="str">
            <v>21-2000109</v>
          </cell>
          <cell r="B26" t="str">
            <v>RES 2.2K OHM 1% 1/10W 0603</v>
          </cell>
          <cell r="E26">
            <v>3.1E-2</v>
          </cell>
          <cell r="G26">
            <v>0</v>
          </cell>
        </row>
        <row r="27">
          <cell r="A27" t="str">
            <v>21-2000111</v>
          </cell>
          <cell r="B27" t="str">
            <v>RES SMD 107K OHM 0.1% 1/10W 0603</v>
          </cell>
          <cell r="E27">
            <v>0.79591000000000001</v>
          </cell>
          <cell r="G27">
            <v>1600</v>
          </cell>
        </row>
        <row r="28">
          <cell r="A28" t="str">
            <v>21-2000112</v>
          </cell>
          <cell r="B28" t="str">
            <v>RES 16.2 KOHMS 0.1% 0.15W 0603</v>
          </cell>
          <cell r="E28">
            <v>5.4159100000000002</v>
          </cell>
          <cell r="G28">
            <v>1600</v>
          </cell>
        </row>
        <row r="29">
          <cell r="A29" t="str">
            <v>21-2000115</v>
          </cell>
          <cell r="B29" t="str">
            <v>RES 22 OHM 1% 1/10W 0603</v>
          </cell>
          <cell r="E29">
            <v>0</v>
          </cell>
          <cell r="G29">
            <v>0</v>
          </cell>
        </row>
        <row r="30">
          <cell r="A30" t="str">
            <v>21-2000116</v>
          </cell>
          <cell r="B30" t="str">
            <v>RES 0 OHM, 0.1 W, -55 TO 155 DEGC, 0402 (1005 METRIC)</v>
          </cell>
          <cell r="E30">
            <v>0.06</v>
          </cell>
          <cell r="G30">
            <v>0</v>
          </cell>
        </row>
        <row r="31">
          <cell r="A31" t="str">
            <v>21-2000117</v>
          </cell>
          <cell r="B31" t="str">
            <v>RES 47K OHM 1% 1/10W 0603</v>
          </cell>
          <cell r="E31">
            <v>0</v>
          </cell>
          <cell r="G31">
            <v>0</v>
          </cell>
        </row>
        <row r="32">
          <cell r="A32" t="str">
            <v>21-2000128</v>
          </cell>
          <cell r="B32" t="str">
            <v>RES 0 OHM JUMPER 1/2W 0805</v>
          </cell>
          <cell r="E32">
            <v>0</v>
          </cell>
          <cell r="G32">
            <v>0</v>
          </cell>
        </row>
        <row r="33">
          <cell r="A33" t="str">
            <v>21-2000129</v>
          </cell>
          <cell r="B33" t="str">
            <v>RES 120K OHM 1% 1/10W 0603</v>
          </cell>
          <cell r="E33">
            <v>0</v>
          </cell>
          <cell r="G33">
            <v>0</v>
          </cell>
        </row>
        <row r="34">
          <cell r="A34" t="str">
            <v>21-2000130</v>
          </cell>
          <cell r="B34" t="str">
            <v>RES 180 OHM 1% 1/10W 0603</v>
          </cell>
          <cell r="E34">
            <v>5.4330000000000003E-2</v>
          </cell>
          <cell r="G34">
            <v>0</v>
          </cell>
        </row>
        <row r="35">
          <cell r="A35" t="str">
            <v>21-2000131</v>
          </cell>
          <cell r="B35" t="str">
            <v>RES 1K OHM 1% 1/8W 0805</v>
          </cell>
          <cell r="E35">
            <v>0.10094</v>
          </cell>
          <cell r="G35">
            <v>0</v>
          </cell>
        </row>
        <row r="36">
          <cell r="A36" t="str">
            <v>21-2000142</v>
          </cell>
          <cell r="B36" t="str">
            <v>RES 4.7K OHM 1% 1/10W 0603</v>
          </cell>
          <cell r="E36">
            <v>3.1E-2</v>
          </cell>
          <cell r="G36">
            <v>0</v>
          </cell>
        </row>
        <row r="37">
          <cell r="A37" t="str">
            <v>21-2000145</v>
          </cell>
          <cell r="B37" t="str">
            <v>RES 10K OHM 1% 01W 0603</v>
          </cell>
          <cell r="E37">
            <v>0</v>
          </cell>
          <cell r="G37">
            <v>0</v>
          </cell>
        </row>
        <row r="38">
          <cell r="A38" t="str">
            <v>21-2000147</v>
          </cell>
          <cell r="B38" t="str">
            <v>RES 39.2K OHM 1% 1/10W 0603</v>
          </cell>
          <cell r="E38">
            <v>0</v>
          </cell>
          <cell r="G38">
            <v>0</v>
          </cell>
        </row>
        <row r="39">
          <cell r="A39" t="str">
            <v>21-2000148</v>
          </cell>
          <cell r="B39" t="str">
            <v>RES 60.4 OHM 1% 1/10W 0603</v>
          </cell>
          <cell r="E39">
            <v>0</v>
          </cell>
          <cell r="G39">
            <v>0</v>
          </cell>
        </row>
        <row r="40">
          <cell r="A40" t="str">
            <v>21-2000149</v>
          </cell>
          <cell r="B40" t="str">
            <v>RES 120 OHM 1% 1/8W 0805</v>
          </cell>
          <cell r="E40">
            <v>0</v>
          </cell>
          <cell r="G40">
            <v>0</v>
          </cell>
        </row>
        <row r="41">
          <cell r="A41" t="str">
            <v>21-2000454</v>
          </cell>
          <cell r="B41" t="str">
            <v>RES 15K OHM 1% 1/10W 0603</v>
          </cell>
          <cell r="E41">
            <v>0</v>
          </cell>
          <cell r="G41">
            <v>0</v>
          </cell>
        </row>
        <row r="42">
          <cell r="A42" t="str">
            <v>21-2000534</v>
          </cell>
          <cell r="B42" t="str">
            <v>RES 10K OHM 1% 1/8W 0805</v>
          </cell>
          <cell r="E42">
            <v>9.0709999999999999E-2</v>
          </cell>
          <cell r="G42">
            <v>0</v>
          </cell>
        </row>
        <row r="43">
          <cell r="A43" t="str">
            <v>21-2000535</v>
          </cell>
          <cell r="B43" t="str">
            <v>RES 2K OHM 1% 1/8W 0805</v>
          </cell>
          <cell r="E43">
            <v>0.14199999999999999</v>
          </cell>
          <cell r="G43">
            <v>0</v>
          </cell>
        </row>
        <row r="44">
          <cell r="A44" t="str">
            <v>21-2000552</v>
          </cell>
          <cell r="B44" t="str">
            <v>RES 1M OHM 1% 1/8W 0805</v>
          </cell>
          <cell r="E44">
            <v>7.1999999999999995E-2</v>
          </cell>
          <cell r="G44">
            <v>0</v>
          </cell>
        </row>
        <row r="45">
          <cell r="A45" t="str">
            <v>21-2000553</v>
          </cell>
          <cell r="B45" t="str">
            <v>RES 20K OHM 1% 1/8W 0805</v>
          </cell>
          <cell r="E45">
            <v>9.0999999999999998E-2</v>
          </cell>
          <cell r="G45">
            <v>0</v>
          </cell>
        </row>
        <row r="46">
          <cell r="A46" t="str">
            <v>21-2000632</v>
          </cell>
          <cell r="B46" t="str">
            <v>RES, 1M OHM +-1%, 0.1W, 0603, Thick Film</v>
          </cell>
          <cell r="E46">
            <v>0.04</v>
          </cell>
          <cell r="G46">
            <v>0</v>
          </cell>
        </row>
        <row r="47">
          <cell r="A47" t="str">
            <v>21-2000706</v>
          </cell>
          <cell r="B47" t="str">
            <v>RES 10K OHM 5% 1/4W, AXIAL</v>
          </cell>
          <cell r="E47">
            <v>0.25291000000000002</v>
          </cell>
          <cell r="G47">
            <v>1904</v>
          </cell>
        </row>
        <row r="48">
          <cell r="A48" t="str">
            <v>21-2000799</v>
          </cell>
          <cell r="B48" t="str">
            <v>RES, 120 OHM +-5%, 0.1W, 0603, Thick Film</v>
          </cell>
          <cell r="E48">
            <v>0.04</v>
          </cell>
          <cell r="G48">
            <v>0</v>
          </cell>
        </row>
        <row r="49">
          <cell r="A49" t="str">
            <v>21-2000800</v>
          </cell>
          <cell r="B49" t="str">
            <v>RES, 100k OHM +-1%, 0.1W, 0402, Thick Film</v>
          </cell>
          <cell r="E49">
            <v>6.6669999999999993E-2</v>
          </cell>
          <cell r="G49">
            <v>0</v>
          </cell>
        </row>
        <row r="50">
          <cell r="A50" t="str">
            <v>21-2000801</v>
          </cell>
          <cell r="B50" t="str">
            <v>RES, 10k OHM +-1%, 0.1W, 0402, Thick Film</v>
          </cell>
          <cell r="E50">
            <v>6.5000000000000002E-2</v>
          </cell>
          <cell r="G50">
            <v>0</v>
          </cell>
        </row>
        <row r="51">
          <cell r="A51" t="str">
            <v>21-2001076</v>
          </cell>
          <cell r="B51" t="str">
            <v>RES, 15k OHM +-1%, 1/16W, 0402 , Thick Film</v>
          </cell>
          <cell r="E51">
            <v>4.1500000000000002E-2</v>
          </cell>
          <cell r="G51">
            <v>0</v>
          </cell>
        </row>
        <row r="52">
          <cell r="A52" t="str">
            <v>21-2001084</v>
          </cell>
          <cell r="B52" t="str">
            <v>RES, 4.7k OHM+-1%, 1/10W, 0402, Thick Film, SMD</v>
          </cell>
          <cell r="E52">
            <v>0</v>
          </cell>
          <cell r="G52">
            <v>0</v>
          </cell>
        </row>
        <row r="53">
          <cell r="A53" t="str">
            <v>21-2001094</v>
          </cell>
          <cell r="B53" t="str">
            <v>RES, 330 OHM +-5%, 1/16W, 0402, SMD</v>
          </cell>
          <cell r="E53">
            <v>3.1050000000000001E-2</v>
          </cell>
          <cell r="G53">
            <v>0</v>
          </cell>
        </row>
        <row r="54">
          <cell r="A54" t="str">
            <v>21-2001095</v>
          </cell>
          <cell r="B54" t="str">
            <v>RES, 1K OHM +-1%, 1/10W, 0402, SMD</v>
          </cell>
          <cell r="E54">
            <v>6.2050000000000001E-2</v>
          </cell>
          <cell r="G54">
            <v>0</v>
          </cell>
        </row>
        <row r="55">
          <cell r="A55" t="str">
            <v>21-2001096</v>
          </cell>
          <cell r="B55" t="str">
            <v>RES, 0 OHM, Jumper, 1/16W, 0402, SMD</v>
          </cell>
          <cell r="E55">
            <v>3.576E-2</v>
          </cell>
          <cell r="G55">
            <v>10000</v>
          </cell>
        </row>
        <row r="56">
          <cell r="A56" t="str">
            <v>21-2001097</v>
          </cell>
          <cell r="B56" t="str">
            <v>RES, 15K OHM +-1%, 1/16W, 0402</v>
          </cell>
          <cell r="E56">
            <v>4.403E-2</v>
          </cell>
          <cell r="G56">
            <v>0</v>
          </cell>
        </row>
        <row r="57">
          <cell r="A57" t="str">
            <v>21-2001098</v>
          </cell>
          <cell r="B57" t="str">
            <v>RES, 22 OHM +-5%, 1/16W, 0402, SMD</v>
          </cell>
          <cell r="E57">
            <v>3.1620000000000002E-2</v>
          </cell>
          <cell r="G57">
            <v>0</v>
          </cell>
        </row>
        <row r="58">
          <cell r="A58" t="str">
            <v>21-2001099</v>
          </cell>
          <cell r="B58" t="str">
            <v>RES, 47.5K OHM+-1%, 1/16W, 0402, SMD</v>
          </cell>
          <cell r="E58">
            <v>4.1549999999999997E-2</v>
          </cell>
          <cell r="G58">
            <v>0</v>
          </cell>
        </row>
        <row r="59">
          <cell r="A59" t="str">
            <v>21-2001110</v>
          </cell>
          <cell r="B59" t="str">
            <v>RES, 5.23K OHM+-1%, 1/16W, 0402</v>
          </cell>
          <cell r="E59">
            <v>5.176E-2</v>
          </cell>
          <cell r="G59">
            <v>10000</v>
          </cell>
        </row>
        <row r="60">
          <cell r="A60" t="str">
            <v>21-2001111</v>
          </cell>
          <cell r="B60" t="str">
            <v>RES, 169 OHM+-1%, 1/16W, 0402</v>
          </cell>
          <cell r="E60">
            <v>5.2999999999999999E-2</v>
          </cell>
          <cell r="G60">
            <v>0</v>
          </cell>
        </row>
        <row r="61">
          <cell r="A61" t="str">
            <v>21-2001112</v>
          </cell>
          <cell r="B61" t="str">
            <v>RES, 750 OHM+-1%, 1/16W, 0402</v>
          </cell>
          <cell r="E61">
            <v>5.176E-2</v>
          </cell>
          <cell r="G61">
            <v>0</v>
          </cell>
        </row>
        <row r="62">
          <cell r="A62" t="str">
            <v>21-2001113</v>
          </cell>
          <cell r="B62" t="str">
            <v>RES, 28K OHM+-1%, 1/16W, 0402</v>
          </cell>
          <cell r="E62">
            <v>0.04</v>
          </cell>
          <cell r="G62">
            <v>0</v>
          </cell>
        </row>
        <row r="63">
          <cell r="A63" t="str">
            <v>21-2001114</v>
          </cell>
          <cell r="B63" t="str">
            <v>RES, 30.9K OHM+-1%, 1/16W, 0402</v>
          </cell>
          <cell r="E63">
            <v>4.2040000000000001E-2</v>
          </cell>
          <cell r="G63">
            <v>10000</v>
          </cell>
        </row>
        <row r="64">
          <cell r="A64" t="str">
            <v>21-2001115</v>
          </cell>
          <cell r="B64" t="str">
            <v>THERMISTOR, NTC, 10K OHM, 3380K, 0402</v>
          </cell>
          <cell r="E64">
            <v>0.67818000000000001</v>
          </cell>
          <cell r="G64">
            <v>1600</v>
          </cell>
        </row>
        <row r="65">
          <cell r="A65" t="str">
            <v>22-2000057</v>
          </cell>
          <cell r="B65" t="str">
            <v>CAP CER 0.1UF 50V X7R 0603</v>
          </cell>
          <cell r="E65">
            <v>0</v>
          </cell>
          <cell r="G65">
            <v>0</v>
          </cell>
        </row>
        <row r="66">
          <cell r="A66" t="str">
            <v>22-2000058</v>
          </cell>
          <cell r="B66" t="str">
            <v>CAP CER 1UF 25V X5R 0603</v>
          </cell>
          <cell r="E66">
            <v>0.1</v>
          </cell>
          <cell r="G66">
            <v>0</v>
          </cell>
        </row>
        <row r="67">
          <cell r="A67" t="str">
            <v>22-2000059</v>
          </cell>
          <cell r="B67" t="str">
            <v>CAP CER 10UF 25V X5R 0805</v>
          </cell>
          <cell r="E67">
            <v>0.41231000000000001</v>
          </cell>
          <cell r="G67">
            <v>4000</v>
          </cell>
        </row>
        <row r="68">
          <cell r="A68" t="str">
            <v>22-2000060</v>
          </cell>
          <cell r="B68" t="str">
            <v>CAP CER 0.047UF 50V X7R 0603</v>
          </cell>
          <cell r="E68">
            <v>0.25</v>
          </cell>
          <cell r="G68">
            <v>0</v>
          </cell>
        </row>
        <row r="69">
          <cell r="A69" t="str">
            <v>22-2000081</v>
          </cell>
          <cell r="B69" t="str">
            <v>CAP CER 2.2UF 10V X7R 0603</v>
          </cell>
          <cell r="E69">
            <v>0.52332999999999996</v>
          </cell>
          <cell r="G69">
            <v>0</v>
          </cell>
        </row>
        <row r="70">
          <cell r="A70" t="str">
            <v>22-2000083</v>
          </cell>
          <cell r="B70" t="str">
            <v>CAP CER, 10 PF, +/- 5%, 50 V, 0603 (1608 METRIC)</v>
          </cell>
          <cell r="E70">
            <v>0.13667000000000001</v>
          </cell>
          <cell r="G70">
            <v>0</v>
          </cell>
        </row>
        <row r="71">
          <cell r="A71" t="str">
            <v>22-2000084</v>
          </cell>
          <cell r="B71" t="str">
            <v>CAP CER 33PF 100V C0G/NP0 0805</v>
          </cell>
          <cell r="E71">
            <v>0.36332999999999999</v>
          </cell>
          <cell r="G71">
            <v>0</v>
          </cell>
        </row>
        <row r="72">
          <cell r="A72" t="str">
            <v>22-2000087</v>
          </cell>
          <cell r="B72" t="str">
            <v>CAP CER 0603 10NF 16V X7R 10%</v>
          </cell>
          <cell r="E72">
            <v>0</v>
          </cell>
          <cell r="G72">
            <v>0</v>
          </cell>
        </row>
        <row r="73">
          <cell r="A73" t="str">
            <v>22-2000088</v>
          </cell>
          <cell r="B73" t="str">
            <v>CAP CER 22PF 100V C0G/NP0 0603</v>
          </cell>
          <cell r="E73">
            <v>0</v>
          </cell>
          <cell r="G73">
            <v>0</v>
          </cell>
        </row>
        <row r="74">
          <cell r="A74" t="str">
            <v>22-2000089</v>
          </cell>
          <cell r="B74" t="str">
            <v>CAP CER 100PF 50V C0G/NP0 0402</v>
          </cell>
          <cell r="E74">
            <v>0</v>
          </cell>
          <cell r="G74">
            <v>0</v>
          </cell>
        </row>
        <row r="75">
          <cell r="A75" t="str">
            <v>22-2000090</v>
          </cell>
          <cell r="B75" t="str">
            <v>CAP CER, 1NF +/-20%, 50V, 0402, THICKNESS 0.33 MM</v>
          </cell>
          <cell r="E75">
            <v>0.14499999999999999</v>
          </cell>
          <cell r="G75">
            <v>0</v>
          </cell>
        </row>
        <row r="76">
          <cell r="A76" t="str">
            <v>22-2000119</v>
          </cell>
          <cell r="B76" t="str">
            <v>CAP CER 22UF 10V X5R 0603</v>
          </cell>
          <cell r="E76">
            <v>1.31273</v>
          </cell>
          <cell r="G76">
            <v>0</v>
          </cell>
        </row>
        <row r="77">
          <cell r="A77" t="str">
            <v>22-2000121</v>
          </cell>
          <cell r="B77" t="str">
            <v>CAP CER 0.1UF 50V X7R 0805</v>
          </cell>
          <cell r="E77">
            <v>0.42499999999999999</v>
          </cell>
          <cell r="G77">
            <v>0</v>
          </cell>
        </row>
        <row r="78">
          <cell r="A78" t="str">
            <v>22-2000122</v>
          </cell>
          <cell r="B78" t="str">
            <v>CAP CER 4.7UF 16V X5R 0603</v>
          </cell>
          <cell r="E78">
            <v>0.83</v>
          </cell>
          <cell r="G78">
            <v>0</v>
          </cell>
        </row>
        <row r="79">
          <cell r="A79" t="str">
            <v>22-2000445</v>
          </cell>
          <cell r="B79" t="str">
            <v>CAP CER 100NF 50V X7R 0603</v>
          </cell>
          <cell r="E79">
            <v>0.14047999999999999</v>
          </cell>
          <cell r="G79">
            <v>32000</v>
          </cell>
        </row>
        <row r="80">
          <cell r="A80" t="str">
            <v>22-2000451</v>
          </cell>
          <cell r="B80" t="str">
            <v>CAP CER 100UF 10V X5R 1210</v>
          </cell>
          <cell r="E80">
            <v>0</v>
          </cell>
          <cell r="G80">
            <v>0</v>
          </cell>
        </row>
        <row r="81">
          <cell r="A81" t="str">
            <v>22-2000515</v>
          </cell>
          <cell r="B81" t="str">
            <v>CAP, ELEC RAD, 22UF, 35V, 5X11.4MM</v>
          </cell>
          <cell r="E81">
            <v>1</v>
          </cell>
          <cell r="G81">
            <v>3083</v>
          </cell>
        </row>
        <row r="82">
          <cell r="A82" t="str">
            <v>22-2000542</v>
          </cell>
          <cell r="B82" t="str">
            <v>CAP ALUM 100UF 20% 35V SMD</v>
          </cell>
          <cell r="E82">
            <v>4.66</v>
          </cell>
          <cell r="G82">
            <v>0</v>
          </cell>
        </row>
        <row r="83">
          <cell r="A83" t="str">
            <v>22-2000543</v>
          </cell>
          <cell r="B83" t="str">
            <v>CAP ALUM 10UF 20% 35V SMD</v>
          </cell>
          <cell r="E83">
            <v>2.79</v>
          </cell>
          <cell r="G83">
            <v>0</v>
          </cell>
        </row>
        <row r="84">
          <cell r="A84" t="str">
            <v>22-2000625</v>
          </cell>
          <cell r="B84" t="str">
            <v>CAP, CER, 22uF +-10%, 16V, X5R, 0805</v>
          </cell>
          <cell r="E84">
            <v>1.44</v>
          </cell>
          <cell r="G84">
            <v>0</v>
          </cell>
        </row>
        <row r="85">
          <cell r="A85" t="str">
            <v>22-2000626</v>
          </cell>
          <cell r="B85" t="str">
            <v>CAP, CER, 6.8uF +- 10%, 16V, X5R, 0805</v>
          </cell>
          <cell r="E85">
            <v>2.2275999999999998</v>
          </cell>
          <cell r="G85">
            <v>4000</v>
          </cell>
        </row>
        <row r="86">
          <cell r="A86" t="str">
            <v>22-2000705</v>
          </cell>
          <cell r="B86" t="str">
            <v>CAP CER 100NF 50V, RADIAL</v>
          </cell>
          <cell r="E86">
            <v>1.32</v>
          </cell>
          <cell r="G86">
            <v>905</v>
          </cell>
        </row>
        <row r="87">
          <cell r="A87" t="str">
            <v>22-2001079</v>
          </cell>
          <cell r="B87" t="str">
            <v>CAP, CER, 4.7uF +-10%, 16V, X5R, 0603</v>
          </cell>
          <cell r="E87">
            <v>0.77675000000000005</v>
          </cell>
          <cell r="G87">
            <v>0</v>
          </cell>
        </row>
        <row r="88">
          <cell r="A88" t="str">
            <v>22-2001080</v>
          </cell>
          <cell r="B88" t="str">
            <v>CAP, Tant, Poly, 150uF +-20%, 16V, 2917</v>
          </cell>
          <cell r="E88">
            <v>11.845000000000001</v>
          </cell>
          <cell r="G88">
            <v>2000</v>
          </cell>
        </row>
        <row r="89">
          <cell r="A89" t="str">
            <v>22-2001086</v>
          </cell>
          <cell r="B89" t="str">
            <v>CAP, CER, 0.1uF +-10%, 16V, X7R, 0603</v>
          </cell>
          <cell r="E89">
            <v>0.12</v>
          </cell>
          <cell r="G89">
            <v>0</v>
          </cell>
        </row>
        <row r="90">
          <cell r="A90" t="str">
            <v>22-2001087</v>
          </cell>
          <cell r="B90" t="str">
            <v>CAP, CER, 10000pF +-10%, 50V, X7R, 0402</v>
          </cell>
          <cell r="E90">
            <v>7.6670000000000002E-2</v>
          </cell>
          <cell r="G90">
            <v>0</v>
          </cell>
        </row>
        <row r="91">
          <cell r="A91" t="str">
            <v>22-2001088</v>
          </cell>
          <cell r="B91" t="str">
            <v>CAP, CER, 22pF +-10%, 50V, NPO, 0402</v>
          </cell>
          <cell r="E91">
            <v>7.0000000000000007E-2</v>
          </cell>
          <cell r="G91">
            <v>0</v>
          </cell>
        </row>
        <row r="92">
          <cell r="A92" t="str">
            <v>22-2001089</v>
          </cell>
          <cell r="B92" t="str">
            <v>CAP, CER, 0.1uF +-25%, 25V, X5R, 0402</v>
          </cell>
          <cell r="E92">
            <v>3.1E-2</v>
          </cell>
          <cell r="G92">
            <v>0</v>
          </cell>
        </row>
        <row r="93">
          <cell r="A93" t="str">
            <v>22-2001090</v>
          </cell>
          <cell r="B93" t="str">
            <v>CAP, CER, 100pF +-50, 50V, C0G/NPO, 0402</v>
          </cell>
          <cell r="E93">
            <v>0.45743</v>
          </cell>
          <cell r="G93">
            <v>0</v>
          </cell>
        </row>
        <row r="94">
          <cell r="A94" t="str">
            <v>22-2001125</v>
          </cell>
          <cell r="B94" t="str">
            <v>CAP, Tant, Poly, 330uF +-20%, 10V, 2917</v>
          </cell>
          <cell r="E94">
            <v>23.426359999999999</v>
          </cell>
          <cell r="G94">
            <v>0</v>
          </cell>
        </row>
        <row r="95">
          <cell r="A95" t="str">
            <v>23-2000093</v>
          </cell>
          <cell r="B95" t="str">
            <v>TRANSIENT VOLTAGE SUPPRESSOR, TVS, SMAJ SERIES, BIDIRECTIONAL, 5 V, DO-214AC, 2, 6.4 V</v>
          </cell>
          <cell r="E95">
            <v>2.0990899999999999</v>
          </cell>
          <cell r="G95">
            <v>0</v>
          </cell>
        </row>
        <row r="96">
          <cell r="A96" t="str">
            <v>23-2000094</v>
          </cell>
          <cell r="B96" t="str">
            <v>TVS DIODE 5VWM 14VC DFN1006-2</v>
          </cell>
          <cell r="E96">
            <v>0.80606</v>
          </cell>
          <cell r="G96">
            <v>0</v>
          </cell>
        </row>
        <row r="97">
          <cell r="A97" t="str">
            <v>23-2000095</v>
          </cell>
          <cell r="B97" t="str">
            <v>TVS DIODE 3VWM SOT3236</v>
          </cell>
          <cell r="E97">
            <v>3.8754499999999998</v>
          </cell>
          <cell r="G97">
            <v>0</v>
          </cell>
        </row>
        <row r="98">
          <cell r="A98" t="str">
            <v>23-2000096</v>
          </cell>
          <cell r="B98" t="str">
            <v>ESD SUPPRESSOR DIODE TVS BI-DIR 30V 2-PIN CASE 0402 T/R</v>
          </cell>
          <cell r="E98">
            <v>2.0778799999999999</v>
          </cell>
          <cell r="G98">
            <v>0</v>
          </cell>
        </row>
        <row r="99">
          <cell r="A99" t="str">
            <v>23-2000097</v>
          </cell>
          <cell r="B99" t="str">
            <v>LED, Clear, Orange, 2V, 20 mA, 130deg, 0603</v>
          </cell>
          <cell r="E99">
            <v>0.56000000000000005</v>
          </cell>
          <cell r="G99">
            <v>0</v>
          </cell>
        </row>
        <row r="100">
          <cell r="A100" t="str">
            <v>23-2000098</v>
          </cell>
          <cell r="B100" t="str">
            <v>LED UNI-COLOR GREEN, 100 MW, 30 MA,  2-PIN SMD</v>
          </cell>
          <cell r="E100">
            <v>0.56000000000000005</v>
          </cell>
          <cell r="G100">
            <v>0</v>
          </cell>
        </row>
        <row r="101">
          <cell r="A101" t="str">
            <v>23-2000103</v>
          </cell>
          <cell r="B101" t="str">
            <v>USB2.0 AND VBUS TVS DIODE ARRAY, 0.4 PF, ROHS</v>
          </cell>
          <cell r="E101">
            <v>0</v>
          </cell>
          <cell r="G101">
            <v>0</v>
          </cell>
        </row>
        <row r="102">
          <cell r="A102" t="str">
            <v>23-2000123</v>
          </cell>
          <cell r="B102" t="str">
            <v>DIODE GEN PURP 1KV 1A DO214AC</v>
          </cell>
          <cell r="E102">
            <v>0.90666999999999998</v>
          </cell>
          <cell r="G102">
            <v>0</v>
          </cell>
        </row>
        <row r="103">
          <cell r="A103" t="str">
            <v>23-2000141</v>
          </cell>
          <cell r="B103" t="str">
            <v>TVS DIODE 12V/7V 26V/12V SOT23-3</v>
          </cell>
          <cell r="E103">
            <v>15.877190000000001</v>
          </cell>
          <cell r="G103">
            <v>0</v>
          </cell>
        </row>
        <row r="104">
          <cell r="A104" t="str">
            <v>23-2000446</v>
          </cell>
          <cell r="B104" t="str">
            <v>LED UNI-COLOR RED 639NM 2-PIN CHIP LED T/R</v>
          </cell>
          <cell r="E104">
            <v>0.85</v>
          </cell>
          <cell r="G104">
            <v>0</v>
          </cell>
        </row>
        <row r="105">
          <cell r="A105" t="str">
            <v>23-2000447</v>
          </cell>
          <cell r="B105" t="str">
            <v>LED UNI-COLOR ORANGE 611NM 2-PIN CHIP LED T/R</v>
          </cell>
          <cell r="E105">
            <v>0.57999999999999996</v>
          </cell>
          <cell r="G105">
            <v>0</v>
          </cell>
        </row>
        <row r="106">
          <cell r="A106" t="str">
            <v>23-2000452</v>
          </cell>
          <cell r="B106" t="str">
            <v>LED UNI-COLOR YELLOW 588NM 2-PIN CHIP LED T/R</v>
          </cell>
          <cell r="E106">
            <v>0.6</v>
          </cell>
          <cell r="G106">
            <v>0</v>
          </cell>
        </row>
        <row r="107">
          <cell r="A107" t="str">
            <v>23-2000453</v>
          </cell>
          <cell r="B107" t="str">
            <v>LED UNI-COLOR GREEN 588NM 2-PIN CHIP LED T/R</v>
          </cell>
          <cell r="E107">
            <v>0.64</v>
          </cell>
          <cell r="G107">
            <v>0</v>
          </cell>
        </row>
        <row r="108">
          <cell r="A108" t="str">
            <v>23-2000544</v>
          </cell>
          <cell r="B108" t="str">
            <v>DIODE GEN PURP 400V 1A SMA</v>
          </cell>
          <cell r="E108">
            <v>1.22</v>
          </cell>
          <cell r="G108">
            <v>0</v>
          </cell>
        </row>
        <row r="109">
          <cell r="A109" t="str">
            <v>23-2000545</v>
          </cell>
          <cell r="B109" t="str">
            <v>DIODE SCHOTTKY 40V 500MA USC</v>
          </cell>
          <cell r="E109">
            <v>0.7</v>
          </cell>
          <cell r="G109">
            <v>0</v>
          </cell>
        </row>
        <row r="110">
          <cell r="A110" t="str">
            <v>23-2000627</v>
          </cell>
          <cell r="B110" t="str">
            <v>LED, Clear, Red, 2V, 20mA, 130deg, 0603</v>
          </cell>
          <cell r="E110">
            <v>0.57999999999999996</v>
          </cell>
          <cell r="G110">
            <v>0</v>
          </cell>
        </row>
        <row r="111">
          <cell r="A111" t="str">
            <v>23-2000798</v>
          </cell>
          <cell r="B111" t="str">
            <v>LED, Clear, Blue, 3.3V, 20mA, 130deg, 0603</v>
          </cell>
          <cell r="E111">
            <v>1.22</v>
          </cell>
          <cell r="G111">
            <v>0</v>
          </cell>
        </row>
        <row r="112">
          <cell r="A112" t="str">
            <v>23-2001071</v>
          </cell>
          <cell r="B112" t="str">
            <v>DIODE, TVS, 24VWM 17VC DFN1006-2</v>
          </cell>
          <cell r="E112">
            <v>1.38235</v>
          </cell>
          <cell r="G112">
            <v>0</v>
          </cell>
        </row>
        <row r="113">
          <cell r="A113" t="str">
            <v>23-2001077</v>
          </cell>
          <cell r="B113" t="str">
            <v>DIODE, TVS, ESD Suppressors, 3.6V, 1 CH, 36W</v>
          </cell>
          <cell r="E113">
            <v>1.7865899999999999</v>
          </cell>
          <cell r="G113">
            <v>0</v>
          </cell>
        </row>
        <row r="114">
          <cell r="A114" t="str">
            <v>23-2001081</v>
          </cell>
          <cell r="B114" t="str">
            <v>DIODE, TVS, 5.5VWM, 13VC</v>
          </cell>
          <cell r="E114">
            <v>0.63832999999999995</v>
          </cell>
          <cell r="G114">
            <v>0</v>
          </cell>
        </row>
        <row r="115">
          <cell r="A115" t="str">
            <v>23-2002013</v>
          </cell>
          <cell r="B115" t="str">
            <v xml:space="preserve">LED, Green, 12V, Panel mount 6mm, Pig Tail </v>
          </cell>
          <cell r="E115">
            <v>0</v>
          </cell>
          <cell r="G115">
            <v>0</v>
          </cell>
        </row>
        <row r="116">
          <cell r="A116" t="str">
            <v>23-2002014</v>
          </cell>
          <cell r="B116" t="str">
            <v xml:space="preserve">LED, Red, 12V, Panel mount 6mm, Pig Tail </v>
          </cell>
          <cell r="E116">
            <v>0</v>
          </cell>
          <cell r="G116">
            <v>0</v>
          </cell>
        </row>
        <row r="117">
          <cell r="A117" t="str">
            <v>23-2002015</v>
          </cell>
          <cell r="B117" t="str">
            <v xml:space="preserve">LED, Blue, 5V, Panel mount 6mm, Pig Tail </v>
          </cell>
          <cell r="E117">
            <v>0</v>
          </cell>
          <cell r="G117">
            <v>0</v>
          </cell>
        </row>
        <row r="118">
          <cell r="A118" t="str">
            <v>24-1000070</v>
          </cell>
          <cell r="B118" t="str">
            <v>FAN CONTROLLER BOARD</v>
          </cell>
          <cell r="E118">
            <v>83.56</v>
          </cell>
          <cell r="G118">
            <v>0</v>
          </cell>
        </row>
        <row r="119">
          <cell r="A119" t="str">
            <v>24-1000071</v>
          </cell>
          <cell r="B119" t="str">
            <v>500W BYPASSER</v>
          </cell>
          <cell r="E119">
            <v>68.226669999999999</v>
          </cell>
          <cell r="G119">
            <v>0</v>
          </cell>
        </row>
        <row r="120">
          <cell r="A120" t="str">
            <v>24-2000085</v>
          </cell>
          <cell r="B120" t="str">
            <v>LINEAR VOLTAGE REGULATOR IC POSITIVE ADJUSTABLE (FIXED) 1 OUTPUT 3A 8-SOIC, EDP</v>
          </cell>
          <cell r="E120">
            <v>23.225909999999999</v>
          </cell>
          <cell r="G120">
            <v>1600</v>
          </cell>
        </row>
        <row r="121">
          <cell r="A121" t="str">
            <v>24-2000086</v>
          </cell>
          <cell r="B121" t="str">
            <v>ESIM SIMM2M</v>
          </cell>
          <cell r="E121">
            <v>285.78010999999998</v>
          </cell>
          <cell r="G121">
            <v>1500</v>
          </cell>
        </row>
        <row r="122">
          <cell r="A122" t="str">
            <v>24-2000118</v>
          </cell>
          <cell r="B122" t="str">
            <v>LTE CAT 1 LTE-FDD/GSM/GPRS/EDGE</v>
          </cell>
          <cell r="E122">
            <v>229.22216</v>
          </cell>
          <cell r="G122">
            <v>1000</v>
          </cell>
        </row>
        <row r="123">
          <cell r="A123" t="str">
            <v>24-2000133</v>
          </cell>
          <cell r="B123" t="str">
            <v>2.4 GHZ WI-FI (802.11 B/G/N) AND BLUETOOTH 5 (LE) MODULE / 8MB FLASH 384KB ROM 512KB SRAM 8MB PSRAM</v>
          </cell>
          <cell r="E123">
            <v>31.18</v>
          </cell>
          <cell r="G123">
            <v>0</v>
          </cell>
        </row>
        <row r="124">
          <cell r="A124" t="str">
            <v>24-2000134</v>
          </cell>
          <cell r="B124" t="str">
            <v>IC REG LDO 3.3V 0.8A SOT223</v>
          </cell>
          <cell r="E124">
            <v>1.5557700000000001</v>
          </cell>
          <cell r="G124">
            <v>0</v>
          </cell>
        </row>
        <row r="125">
          <cell r="A125" t="str">
            <v>24-2000135</v>
          </cell>
          <cell r="B125" t="str">
            <v>ACCELEROMETER X, Y, Z AXIS ±2G, 4G, 8G, 12G, 16G 0.25HZ ~ 500HZ 12-LGA (2X2)</v>
          </cell>
          <cell r="E125">
            <v>14.489850000000001</v>
          </cell>
          <cell r="G125">
            <v>0</v>
          </cell>
        </row>
        <row r="126">
          <cell r="A126" t="str">
            <v>24-2000136</v>
          </cell>
          <cell r="B126" t="str">
            <v>JEDEC SERIAL OUTPUT TEMP SENSOR +/-1 DEG C MAX ACCY (B GRADE)</v>
          </cell>
          <cell r="E126">
            <v>17.71687</v>
          </cell>
          <cell r="G126">
            <v>0</v>
          </cell>
        </row>
        <row r="127">
          <cell r="A127" t="str">
            <v>24-2000137</v>
          </cell>
          <cell r="B127" t="str">
            <v>LOW-VOLTAGE (2V7-5V0) SINGLE COMPARATOR.</v>
          </cell>
          <cell r="E127">
            <v>0</v>
          </cell>
          <cell r="G127">
            <v>0</v>
          </cell>
        </row>
        <row r="128">
          <cell r="A128" t="str">
            <v>24-2000138</v>
          </cell>
          <cell r="B128" t="str">
            <v>IC I/O EXPANDER 16BIT 24HWQFN</v>
          </cell>
          <cell r="E128">
            <v>16.171060000000001</v>
          </cell>
          <cell r="G128">
            <v>11</v>
          </cell>
        </row>
        <row r="129">
          <cell r="A129" t="str">
            <v>24-2000144</v>
          </cell>
          <cell r="B129" t="str">
            <v>±15KV IEC ESD PROTECTED, 3.3V, HALF-DUPLEX, 20MBPS RS-485/RS-422 TRANSCEIVER WITH TX/RX ENABLE</v>
          </cell>
          <cell r="E129">
            <v>0</v>
          </cell>
          <cell r="G129">
            <v>0</v>
          </cell>
        </row>
        <row r="130">
          <cell r="A130" t="str">
            <v>24-2000146</v>
          </cell>
          <cell r="B130" t="str">
            <v>+3.3V, 5MBPS CAN TRANSCEIVER WITH ±40 FAULT PROTECTION, ±25V CMR, AND ±25KV ESD IN WLP AND SOT23/8</v>
          </cell>
          <cell r="E130">
            <v>0</v>
          </cell>
          <cell r="G130">
            <v>0</v>
          </cell>
        </row>
        <row r="131">
          <cell r="A131" t="str">
            <v>24-2000277</v>
          </cell>
          <cell r="B131" t="str">
            <v>MICROSD CARD (&gt;=8GB CLASS 10)</v>
          </cell>
          <cell r="E131">
            <v>48.03</v>
          </cell>
          <cell r="G131">
            <v>20</v>
          </cell>
        </row>
        <row r="132">
          <cell r="A132" t="str">
            <v>24-2000635</v>
          </cell>
          <cell r="B132" t="str">
            <v>IC, Switching Battery Charger, 4.5A, 3.5V - 4.4V, 24-Pin</v>
          </cell>
          <cell r="E132">
            <v>40.724550000000001</v>
          </cell>
          <cell r="G132">
            <v>600</v>
          </cell>
        </row>
        <row r="133">
          <cell r="A133" t="str">
            <v>24-2000636</v>
          </cell>
          <cell r="B133" t="str">
            <v>IC, Boost Switching Regulator,  Positive Fixed, 5.1V, 1 Output 6.5A</v>
          </cell>
          <cell r="E133">
            <v>21.92727</v>
          </cell>
          <cell r="G133">
            <v>600</v>
          </cell>
        </row>
        <row r="134">
          <cell r="A134" t="str">
            <v>24-2000637</v>
          </cell>
          <cell r="B134" t="str">
            <v>IC, Transceiver, 3.3-V to 5-V, RS-485</v>
          </cell>
          <cell r="E134">
            <v>24.11063</v>
          </cell>
          <cell r="G134">
            <v>0</v>
          </cell>
        </row>
        <row r="135">
          <cell r="A135" t="str">
            <v>24-2000674</v>
          </cell>
          <cell r="B135" t="str">
            <v>EG915NEUAG MODULE</v>
          </cell>
          <cell r="E135">
            <v>0</v>
          </cell>
          <cell r="G135">
            <v>0</v>
          </cell>
        </row>
        <row r="136">
          <cell r="A136" t="str">
            <v>24-2000722</v>
          </cell>
          <cell r="B136" t="str">
            <v>LTE Cat1 Module, GPS, Quectel</v>
          </cell>
          <cell r="E136">
            <v>145.80000000000001</v>
          </cell>
          <cell r="G136">
            <v>5000</v>
          </cell>
        </row>
        <row r="137">
          <cell r="A137" t="str">
            <v>24-2000954</v>
          </cell>
          <cell r="B137" t="str">
            <v>IC, MICROCONTROLLER, ARM CORTEX-M4, SINGLE-CORE 80MHZ, 1MB FLASH, 72WLCSP</v>
          </cell>
          <cell r="E137">
            <v>143.71</v>
          </cell>
          <cell r="G137">
            <v>0</v>
          </cell>
        </row>
        <row r="138">
          <cell r="A138" t="str">
            <v>24-2001085</v>
          </cell>
          <cell r="B138" t="str">
            <v>IC, Supervisor, Smart Reset, 6UDFN, SMD</v>
          </cell>
          <cell r="E138">
            <v>10.149089999999999</v>
          </cell>
          <cell r="G138">
            <v>0</v>
          </cell>
        </row>
        <row r="139">
          <cell r="A139" t="str">
            <v>24-2001116</v>
          </cell>
          <cell r="B139" t="str">
            <v>IC, Linear REG,  3.3V,  1A , SOT223</v>
          </cell>
          <cell r="E139">
            <v>1.94</v>
          </cell>
          <cell r="G139">
            <v>0</v>
          </cell>
        </row>
        <row r="140">
          <cell r="A140" t="str">
            <v>24-2001117</v>
          </cell>
          <cell r="B140" t="str">
            <v>IC, Tranceiver, 1/1, 8SOIC</v>
          </cell>
          <cell r="E140">
            <v>20.221640000000001</v>
          </cell>
          <cell r="G140">
            <v>0</v>
          </cell>
        </row>
        <row r="141">
          <cell r="A141" t="str">
            <v>24-2001118</v>
          </cell>
          <cell r="B141" t="str">
            <v>IC, Current Switch, 200mA, SC-59-3</v>
          </cell>
          <cell r="E141">
            <v>2.7424599999999999</v>
          </cell>
          <cell r="G141">
            <v>4000</v>
          </cell>
        </row>
        <row r="142">
          <cell r="A142" t="str">
            <v>24-2001124</v>
          </cell>
          <cell r="B142" t="str">
            <v>IC, 2.4 GHz Wi-Fi, Bluetooth 5 LE, 16MB Flash, 384kB ROM, 512kB SRAM, 2MB PSRAM, SMD</v>
          </cell>
          <cell r="E142">
            <v>73.864450000000005</v>
          </cell>
          <cell r="G142">
            <v>650</v>
          </cell>
        </row>
        <row r="143">
          <cell r="A143" t="str">
            <v>25-2000099</v>
          </cell>
          <cell r="B143" t="str">
            <v>FERRITE BEAD 28 OHM 0603 1LN</v>
          </cell>
          <cell r="E143">
            <v>0</v>
          </cell>
          <cell r="G143">
            <v>0</v>
          </cell>
        </row>
        <row r="144">
          <cell r="A144" t="str">
            <v>25-2000104</v>
          </cell>
          <cell r="B144" t="str">
            <v>IND COMMON MODE CHOKE 90OHM 100MA 4-PIN 03025 PAPER T/R</v>
          </cell>
          <cell r="E144">
            <v>0.98685999999999996</v>
          </cell>
          <cell r="G144">
            <v>0</v>
          </cell>
        </row>
        <row r="145">
          <cell r="A145" t="str">
            <v>25-2000105</v>
          </cell>
          <cell r="B145" t="str">
            <v>IND CHIP UNSHIELDED WIREWOUND 56NH 2% 100MHZ 38Q-FACTOR 770MA 0402 PAPER T/R</v>
          </cell>
          <cell r="E145">
            <v>1.98333</v>
          </cell>
          <cell r="G145">
            <v>0</v>
          </cell>
        </row>
        <row r="146">
          <cell r="A146" t="str">
            <v>25-2000628</v>
          </cell>
          <cell r="B146" t="str">
            <v>IND, 2.2uH +-20%, 10.2A,  Low Profile SMD</v>
          </cell>
          <cell r="E146">
            <v>11.812860000000001</v>
          </cell>
          <cell r="G146">
            <v>1000</v>
          </cell>
        </row>
        <row r="147">
          <cell r="A147" t="str">
            <v>25-2001074</v>
          </cell>
          <cell r="B147" t="str">
            <v>IND, 1uH +-20%, 28A,  Low Profile SMD</v>
          </cell>
          <cell r="E147">
            <v>43.80545</v>
          </cell>
          <cell r="G147">
            <v>800</v>
          </cell>
        </row>
        <row r="148">
          <cell r="A148" t="str">
            <v>25-2001082</v>
          </cell>
          <cell r="B148" t="str">
            <v>Inductor, Ferrite, Bead, 30 OHM, 0603 1LN</v>
          </cell>
          <cell r="E148">
            <v>0.435</v>
          </cell>
          <cell r="G148">
            <v>0</v>
          </cell>
        </row>
        <row r="149">
          <cell r="A149" t="str">
            <v>26-2000092</v>
          </cell>
          <cell r="B149" t="str">
            <v>TRANS PREBIAS NPN 200MW SOT323</v>
          </cell>
          <cell r="E149">
            <v>0.49532999999999999</v>
          </cell>
          <cell r="G149">
            <v>0</v>
          </cell>
        </row>
        <row r="150">
          <cell r="A150" t="str">
            <v>26-2000126</v>
          </cell>
          <cell r="B150" t="str">
            <v>TRANS NPN 45V 500MA TO236AB</v>
          </cell>
          <cell r="E150">
            <v>0</v>
          </cell>
          <cell r="G150">
            <v>0</v>
          </cell>
        </row>
        <row r="151">
          <cell r="A151" t="str">
            <v>26-2000127</v>
          </cell>
          <cell r="B151" t="str">
            <v>TRANS MOSFET P-CH 50V 0.23A AUTOMOTIVE 3-PIN DFN T/R</v>
          </cell>
          <cell r="E151">
            <v>0</v>
          </cell>
          <cell r="G151">
            <v>0</v>
          </cell>
        </row>
        <row r="152">
          <cell r="A152" t="str">
            <v>26-2000533</v>
          </cell>
          <cell r="B152" t="str">
            <v>TRANS, PNP, 100 V, 4-PIN SOT223</v>
          </cell>
          <cell r="E152">
            <v>5.60114</v>
          </cell>
          <cell r="G152">
            <v>0</v>
          </cell>
        </row>
        <row r="153">
          <cell r="A153" t="str">
            <v>28-2000547</v>
          </cell>
          <cell r="B153" t="str">
            <v>MOSFET N-CH 60V 470MA SOT23</v>
          </cell>
          <cell r="E153">
            <v>2.64</v>
          </cell>
          <cell r="G153">
            <v>0</v>
          </cell>
        </row>
        <row r="154">
          <cell r="A154" t="str">
            <v>28-2001075</v>
          </cell>
          <cell r="B154" t="str">
            <v>Transistor, Mosfet, N-CH, 30V, 400MA, SMD</v>
          </cell>
          <cell r="E154">
            <v>0.68767</v>
          </cell>
          <cell r="G154">
            <v>3000</v>
          </cell>
        </row>
        <row r="155">
          <cell r="A155" t="str">
            <v>28-2001101</v>
          </cell>
          <cell r="B155" t="str">
            <v>Transistor, Mosfet, N-CH, 30V, 230MA, SMD</v>
          </cell>
          <cell r="E155">
            <v>0.75666999999999995</v>
          </cell>
          <cell r="G155">
            <v>0</v>
          </cell>
        </row>
        <row r="156">
          <cell r="A156" t="str">
            <v>29-2000125</v>
          </cell>
          <cell r="B156" t="str">
            <v>BUZZERS TRANSDUCER EXTERNALLY DRIVEN MAGNETIC 5V 150MA 4KHZ 100DB @ 5V 10CM SURFACE MOUNT SOLDER PAD</v>
          </cell>
          <cell r="E156">
            <v>16.322859999999999</v>
          </cell>
          <cell r="G156">
            <v>0</v>
          </cell>
        </row>
        <row r="157">
          <cell r="A157" t="str">
            <v>31-1001301</v>
          </cell>
          <cell r="B157" t="str">
            <v>Ferrule, Bootlace, Insulated, 6x12</v>
          </cell>
          <cell r="E157">
            <v>0.56620000000000004</v>
          </cell>
          <cell r="G157">
            <v>4559</v>
          </cell>
        </row>
        <row r="158">
          <cell r="A158" t="str">
            <v>31-1001301-X</v>
          </cell>
          <cell r="B158" t="str">
            <v>Ferrule, Bootlace, Insulated, 6x12</v>
          </cell>
          <cell r="E158">
            <v>0.4491</v>
          </cell>
          <cell r="G158">
            <v>0</v>
          </cell>
        </row>
        <row r="159">
          <cell r="A159" t="str">
            <v>31-1001512</v>
          </cell>
          <cell r="B159" t="str">
            <v xml:space="preserve">Ferrule, Spade Terminal, 6x4, Insulated </v>
          </cell>
          <cell r="E159">
            <v>1.3049999999999999</v>
          </cell>
          <cell r="G159">
            <v>0</v>
          </cell>
        </row>
        <row r="160">
          <cell r="A160" t="str">
            <v>31-1001526</v>
          </cell>
          <cell r="B160" t="str">
            <v xml:space="preserve">Ferrule, Spade Terminal, 1x5, Insulated </v>
          </cell>
          <cell r="E160">
            <v>0.54</v>
          </cell>
          <cell r="G160">
            <v>0</v>
          </cell>
        </row>
        <row r="161">
          <cell r="A161" t="str">
            <v>31-1001588</v>
          </cell>
          <cell r="B161" t="str">
            <v>Ferrule, Blade Terminal, Uninsulated, 6mm2, 10mm Blade Length</v>
          </cell>
          <cell r="E161">
            <v>0</v>
          </cell>
          <cell r="G161">
            <v>0</v>
          </cell>
        </row>
        <row r="162">
          <cell r="A162" t="str">
            <v>31-2000005</v>
          </cell>
          <cell r="B162" t="str">
            <v>LUG, RING, 16X5, NPC</v>
          </cell>
          <cell r="E162">
            <v>2.9857800000000001</v>
          </cell>
          <cell r="G162">
            <v>4564</v>
          </cell>
        </row>
        <row r="163">
          <cell r="A163" t="str">
            <v>31-2000007</v>
          </cell>
          <cell r="B163" t="str">
            <v>LUG, RING, 16X6, NPC</v>
          </cell>
          <cell r="E163">
            <v>2.7877399999999999</v>
          </cell>
          <cell r="G163">
            <v>10021</v>
          </cell>
        </row>
        <row r="164">
          <cell r="A164" t="str">
            <v>31-2000011</v>
          </cell>
          <cell r="B164" t="str">
            <v>BATTERY SOCKET, 150A, BLACK</v>
          </cell>
          <cell r="E164">
            <v>82.801019999999994</v>
          </cell>
          <cell r="G164">
            <v>1296</v>
          </cell>
        </row>
        <row r="165">
          <cell r="A165" t="str">
            <v>31-2000012</v>
          </cell>
          <cell r="B165" t="str">
            <v>BATTERY SOCKET, 150A, RED</v>
          </cell>
          <cell r="E165">
            <v>79.553600000000003</v>
          </cell>
          <cell r="G165">
            <v>1234</v>
          </cell>
        </row>
        <row r="166">
          <cell r="A166" t="str">
            <v>31-2000016</v>
          </cell>
          <cell r="B166" t="str">
            <v>LUG, RING, 6X6, NPC</v>
          </cell>
          <cell r="E166">
            <v>1.3525</v>
          </cell>
          <cell r="G166">
            <v>2523</v>
          </cell>
        </row>
        <row r="167">
          <cell r="A167" t="str">
            <v>31-2000022</v>
          </cell>
          <cell r="B167" t="str">
            <v>BATTERY TERMINAL JUMPER, HORIZONTAL</v>
          </cell>
          <cell r="E167">
            <v>11.258940000000001</v>
          </cell>
          <cell r="G167">
            <v>3079</v>
          </cell>
        </row>
        <row r="168">
          <cell r="A168" t="str">
            <v>31-2000023</v>
          </cell>
          <cell r="B168" t="str">
            <v>BATTERY TERMINAL JUMPER, VERTICAL</v>
          </cell>
          <cell r="E168">
            <v>7.2276600000000002</v>
          </cell>
          <cell r="G168">
            <v>2549</v>
          </cell>
        </row>
        <row r="169">
          <cell r="A169" t="str">
            <v>31-2000044</v>
          </cell>
          <cell r="B169" t="str">
            <v>FERRULE, BOOTLACE, UNINSULATED, 6MM2</v>
          </cell>
          <cell r="E169">
            <v>0</v>
          </cell>
          <cell r="G169">
            <v>0</v>
          </cell>
        </row>
        <row r="170">
          <cell r="A170" t="str">
            <v>31-2000050</v>
          </cell>
          <cell r="B170" t="str">
            <v>LUG, RING, 50X8, NPC</v>
          </cell>
          <cell r="E170">
            <v>9.9286600000000007</v>
          </cell>
          <cell r="G170">
            <v>674</v>
          </cell>
        </row>
        <row r="171">
          <cell r="A171" t="str">
            <v>31-2000065</v>
          </cell>
          <cell r="B171" t="str">
            <v>CONN, WIRE - BOARD HDR 2 POS 3.96MM</v>
          </cell>
          <cell r="E171">
            <v>0</v>
          </cell>
          <cell r="G171">
            <v>0</v>
          </cell>
        </row>
        <row r="172">
          <cell r="A172" t="str">
            <v>31-2000079</v>
          </cell>
          <cell r="B172" t="str">
            <v>Conn, Battery holder,  18650, Through hole, PCB MNT</v>
          </cell>
          <cell r="E172">
            <v>31.438790000000001</v>
          </cell>
          <cell r="G172">
            <v>1029</v>
          </cell>
        </row>
        <row r="173">
          <cell r="A173" t="str">
            <v>31-2000100</v>
          </cell>
          <cell r="B173" t="str">
            <v>MICRO USB, 2.0 TYPE B, RCPT, SMT</v>
          </cell>
          <cell r="E173">
            <v>0</v>
          </cell>
          <cell r="G173">
            <v>0</v>
          </cell>
        </row>
        <row r="174">
          <cell r="A174" t="str">
            <v>31-2000101</v>
          </cell>
          <cell r="B174" t="str">
            <v>CONN UMCC JACK STR 50OHM SMD</v>
          </cell>
          <cell r="E174">
            <v>5.9184799999999997</v>
          </cell>
          <cell r="G174">
            <v>0</v>
          </cell>
        </row>
        <row r="175">
          <cell r="A175" t="str">
            <v>31-2000102</v>
          </cell>
          <cell r="B175" t="str">
            <v>CONNECTOR CARD EDGE, 6 PIN MICRO SIM PUSH PUSH</v>
          </cell>
          <cell r="E175">
            <v>11.516400000000001</v>
          </cell>
          <cell r="G175">
            <v>0</v>
          </cell>
        </row>
        <row r="176">
          <cell r="A176" t="str">
            <v>31-2000124</v>
          </cell>
          <cell r="B176" t="str">
            <v>CONN, FFC/FPC, 32 POS 0.5MM SOLDER</v>
          </cell>
          <cell r="E176">
            <v>0</v>
          </cell>
          <cell r="G176">
            <v>0</v>
          </cell>
        </row>
        <row r="177">
          <cell r="A177" t="str">
            <v>31-2000132</v>
          </cell>
          <cell r="B177" t="str">
            <v>CONN MICRO SD CARD SKT 8 POS 1.1MM SOLDER RA SMD 0.5A/CONTACT EMBOSSED T/R</v>
          </cell>
          <cell r="E177">
            <v>14.633929999999999</v>
          </cell>
          <cell r="G177">
            <v>200</v>
          </cell>
        </row>
        <row r="178">
          <cell r="A178" t="str">
            <v>31-2000140</v>
          </cell>
          <cell r="B178" t="str">
            <v>CONN, POWER HDR 2POS, 4.2MM SOLDER</v>
          </cell>
          <cell r="E178">
            <v>0</v>
          </cell>
          <cell r="G178">
            <v>0</v>
          </cell>
        </row>
        <row r="179">
          <cell r="A179" t="str">
            <v>31-2000150</v>
          </cell>
          <cell r="B179" t="str">
            <v>2MM R/A PCB HEADER 4P DR THRU-HOLE TIN</v>
          </cell>
          <cell r="E179">
            <v>4.4012799999999999</v>
          </cell>
          <cell r="G179">
            <v>5732</v>
          </cell>
        </row>
        <row r="180">
          <cell r="A180" t="str">
            <v>31-2000151</v>
          </cell>
          <cell r="B180" t="str">
            <v>CONN, SHROUDED HEADER MALE, 3POS, 4.2MM</v>
          </cell>
          <cell r="E180">
            <v>17.265720000000002</v>
          </cell>
          <cell r="G180">
            <v>978</v>
          </cell>
        </row>
        <row r="181">
          <cell r="A181" t="str">
            <v>31-2000160</v>
          </cell>
          <cell r="B181" t="str">
            <v>GLAND, 20, BLACK</v>
          </cell>
          <cell r="E181">
            <v>3.2433999999999998</v>
          </cell>
          <cell r="G181">
            <v>2832</v>
          </cell>
        </row>
        <row r="182">
          <cell r="A182" t="str">
            <v>31-2000161</v>
          </cell>
          <cell r="B182" t="str">
            <v>GLAND NUT, 20, BLACK</v>
          </cell>
          <cell r="E182">
            <v>0.88585000000000003</v>
          </cell>
          <cell r="G182">
            <v>5196</v>
          </cell>
        </row>
        <row r="183">
          <cell r="A183" t="str">
            <v>31-2000162</v>
          </cell>
          <cell r="B183" t="str">
            <v>GLAND, 25, BLACK</v>
          </cell>
          <cell r="E183">
            <v>4.5052000000000003</v>
          </cell>
          <cell r="G183">
            <v>72</v>
          </cell>
        </row>
        <row r="184">
          <cell r="A184" t="str">
            <v>31-2000163</v>
          </cell>
          <cell r="B184" t="str">
            <v>GLAND NUT, 25, BLACK</v>
          </cell>
          <cell r="E184">
            <v>1.27664</v>
          </cell>
          <cell r="G184">
            <v>1150</v>
          </cell>
        </row>
        <row r="185">
          <cell r="A185" t="str">
            <v>31-2000169</v>
          </cell>
          <cell r="B185" t="str">
            <v>RJ45 SOCKET</v>
          </cell>
          <cell r="E185">
            <v>56.420479999999998</v>
          </cell>
          <cell r="G185">
            <v>1402</v>
          </cell>
        </row>
        <row r="186">
          <cell r="A186" t="str">
            <v>31-2000175</v>
          </cell>
          <cell r="B186" t="str">
            <v>TERMINAL BLOCK, 35MM2, GREY</v>
          </cell>
          <cell r="E186">
            <v>33.213070000000002</v>
          </cell>
          <cell r="G186">
            <v>1811</v>
          </cell>
        </row>
        <row r="187">
          <cell r="A187" t="str">
            <v>31-2000176</v>
          </cell>
          <cell r="B187" t="str">
            <v>BUSBAR BOX, 300A, 4P, BLACK</v>
          </cell>
          <cell r="E187">
            <v>246.49773999999999</v>
          </cell>
          <cell r="G187">
            <v>25</v>
          </cell>
        </row>
        <row r="188">
          <cell r="A188" t="str">
            <v>31-2000177</v>
          </cell>
          <cell r="B188" t="str">
            <v>BUSBAR BOX, 300A, 4P, RED</v>
          </cell>
          <cell r="E188">
            <v>234.46709000000001</v>
          </cell>
          <cell r="G188">
            <v>1086</v>
          </cell>
        </row>
        <row r="189">
          <cell r="A189" t="str">
            <v>31-2000184</v>
          </cell>
          <cell r="B189" t="str">
            <v>MOLEX SOCKET</v>
          </cell>
          <cell r="E189">
            <v>11.867150000000001</v>
          </cell>
          <cell r="G189">
            <v>2516</v>
          </cell>
        </row>
        <row r="190">
          <cell r="A190" t="str">
            <v>31-2000185</v>
          </cell>
          <cell r="B190" t="str">
            <v>MOLEX PIN, MALE</v>
          </cell>
          <cell r="E190">
            <v>1.3523000000000001</v>
          </cell>
          <cell r="G190">
            <v>17600</v>
          </cell>
        </row>
        <row r="191">
          <cell r="A191" t="str">
            <v>31-2000186</v>
          </cell>
          <cell r="B191" t="str">
            <v>MOLEX PIN, FEMALE</v>
          </cell>
          <cell r="E191">
            <v>1.19326</v>
          </cell>
          <cell r="G191">
            <v>4000</v>
          </cell>
        </row>
        <row r="192">
          <cell r="A192" t="str">
            <v>31-2000187</v>
          </cell>
          <cell r="B192" t="str">
            <v>MOLEX PLUG</v>
          </cell>
          <cell r="E192">
            <v>3.7389199999999998</v>
          </cell>
          <cell r="G192">
            <v>5990</v>
          </cell>
        </row>
        <row r="193">
          <cell r="A193" t="str">
            <v>31-2000189</v>
          </cell>
          <cell r="B193" t="str">
            <v>ROUND SOCKET, 3P, 20A, FEMALE</v>
          </cell>
          <cell r="E193">
            <v>71.020979999999994</v>
          </cell>
          <cell r="G193">
            <v>2386</v>
          </cell>
        </row>
        <row r="194">
          <cell r="A194" t="str">
            <v>31-2000190</v>
          </cell>
          <cell r="B194" t="str">
            <v>ROUND SOCKET, 3P, 20A, MALE</v>
          </cell>
          <cell r="E194">
            <v>69.047650000000004</v>
          </cell>
          <cell r="G194">
            <v>1412</v>
          </cell>
        </row>
        <row r="195">
          <cell r="A195" t="str">
            <v>31-2000207</v>
          </cell>
          <cell r="B195" t="str">
            <v>BATTERY SOCKET, 300A, BLACK</v>
          </cell>
          <cell r="E195">
            <v>127.08046</v>
          </cell>
          <cell r="G195">
            <v>846</v>
          </cell>
        </row>
        <row r="196">
          <cell r="A196" t="str">
            <v>31-2000208</v>
          </cell>
          <cell r="B196" t="str">
            <v>BATTERY SOCKET, 300A, RED</v>
          </cell>
          <cell r="E196">
            <v>123.23744000000001</v>
          </cell>
          <cell r="G196">
            <v>848</v>
          </cell>
        </row>
        <row r="197">
          <cell r="A197" t="str">
            <v>31-2000263</v>
          </cell>
          <cell r="B197" t="str">
            <v>CONN, RJ45, MALE</v>
          </cell>
          <cell r="E197">
            <v>0.37958999999999998</v>
          </cell>
          <cell r="G197">
            <v>590</v>
          </cell>
        </row>
        <row r="198">
          <cell r="A198" t="str">
            <v>31-2000264</v>
          </cell>
          <cell r="B198" t="str">
            <v>FERRULE, INSULATED, 1-8</v>
          </cell>
          <cell r="E198">
            <v>0.15207000000000001</v>
          </cell>
          <cell r="G198">
            <v>528</v>
          </cell>
        </row>
        <row r="199">
          <cell r="A199" t="str">
            <v>31-2000265</v>
          </cell>
          <cell r="B199" t="str">
            <v>CONN 4POS 2MM DUAL CRIMP</v>
          </cell>
          <cell r="E199">
            <v>2.3300800000000002</v>
          </cell>
          <cell r="G199">
            <v>406</v>
          </cell>
        </row>
        <row r="200">
          <cell r="A200" t="str">
            <v>31-2000266</v>
          </cell>
          <cell r="B200" t="str">
            <v>CONN - 3POS RECTANGULAR CONNECTOR</v>
          </cell>
          <cell r="E200">
            <v>4.08</v>
          </cell>
          <cell r="G200">
            <v>95</v>
          </cell>
        </row>
        <row r="201">
          <cell r="A201" t="str">
            <v>31-2000267</v>
          </cell>
          <cell r="B201" t="str">
            <v>CONN 4POS XHB-4 IN-LINE STRAIGHT</v>
          </cell>
          <cell r="E201">
            <v>0</v>
          </cell>
          <cell r="G201">
            <v>0</v>
          </cell>
        </row>
        <row r="202">
          <cell r="A202" t="str">
            <v>31-2000275</v>
          </cell>
          <cell r="B202" t="str">
            <v>CONN, U.FL (UMCC) IPEX MHF1 TO SMA PANEL MOUNT, 50 OHMS (100MM)</v>
          </cell>
          <cell r="E202">
            <v>17.649999999999999</v>
          </cell>
          <cell r="G202">
            <v>8067</v>
          </cell>
        </row>
        <row r="203">
          <cell r="A203" t="str">
            <v>31-2000285</v>
          </cell>
          <cell r="B203" t="str">
            <v>LUG, RING, 50X10, NPC</v>
          </cell>
          <cell r="E203">
            <v>12.20026</v>
          </cell>
          <cell r="G203">
            <v>808</v>
          </cell>
        </row>
        <row r="204">
          <cell r="A204" t="str">
            <v>31-2000286</v>
          </cell>
          <cell r="B204" t="str">
            <v>LUG, RING, 35X8, NPC</v>
          </cell>
          <cell r="E204">
            <v>6.5887099999999998</v>
          </cell>
          <cell r="G204">
            <v>5615</v>
          </cell>
        </row>
        <row r="205">
          <cell r="A205" t="str">
            <v>31-2000287</v>
          </cell>
          <cell r="B205" t="str">
            <v>LUG, RING, 70X8, NPC</v>
          </cell>
          <cell r="E205">
            <v>17.560089999999999</v>
          </cell>
          <cell r="G205">
            <v>2310</v>
          </cell>
        </row>
        <row r="206">
          <cell r="A206" t="str">
            <v>31-2000290</v>
          </cell>
          <cell r="B206" t="str">
            <v>FERRULE, BOOTLACE, INSULATED, 2.5X10</v>
          </cell>
          <cell r="E206">
            <v>0.24729000000000001</v>
          </cell>
          <cell r="G206">
            <v>5415</v>
          </cell>
        </row>
        <row r="207">
          <cell r="A207" t="str">
            <v>31-2000291</v>
          </cell>
          <cell r="B207" t="str">
            <v>Ferrule, Bootlace, Insulated, 4x10, GY</v>
          </cell>
          <cell r="E207">
            <v>0.25</v>
          </cell>
          <cell r="G207">
            <v>12270</v>
          </cell>
        </row>
        <row r="208">
          <cell r="A208" t="str">
            <v>31-2000292</v>
          </cell>
          <cell r="B208" t="str">
            <v>FERRULE, BOOTLACE, 4-10</v>
          </cell>
          <cell r="E208">
            <v>0.23061000000000001</v>
          </cell>
          <cell r="G208">
            <v>19400</v>
          </cell>
        </row>
        <row r="209">
          <cell r="A209" t="str">
            <v>31-2000293</v>
          </cell>
          <cell r="B209" t="str">
            <v>LUG, RING, INSULATED, 1X5, NPC</v>
          </cell>
          <cell r="E209">
            <v>0.53956999999999999</v>
          </cell>
          <cell r="G209">
            <v>23942</v>
          </cell>
        </row>
        <row r="210">
          <cell r="A210" t="str">
            <v>31-2000294</v>
          </cell>
          <cell r="B210" t="str">
            <v>LUG, RING, INSULATED, 1X6, NPC</v>
          </cell>
          <cell r="E210">
            <v>0.68855</v>
          </cell>
          <cell r="G210">
            <v>12173</v>
          </cell>
        </row>
        <row r="211">
          <cell r="A211" t="str">
            <v>31-2000316</v>
          </cell>
          <cell r="B211" t="str">
            <v>QUICK CONNECT PLUG, 35MM2, 150A, BLACK</v>
          </cell>
          <cell r="E211">
            <v>118.56192</v>
          </cell>
          <cell r="G211">
            <v>1900</v>
          </cell>
        </row>
        <row r="212">
          <cell r="A212" t="str">
            <v>31-2000317</v>
          </cell>
          <cell r="B212" t="str">
            <v>QUICK CONNECT PLUG, 35MM2, 150A, RED</v>
          </cell>
          <cell r="E212">
            <v>119.15443999999999</v>
          </cell>
          <cell r="G212">
            <v>1885</v>
          </cell>
        </row>
        <row r="213">
          <cell r="A213" t="str">
            <v>31-2000318</v>
          </cell>
          <cell r="B213" t="str">
            <v>QUICK CONNECT PLUG, 70MM2, 300A, BLACK</v>
          </cell>
          <cell r="E213">
            <v>180.13791000000001</v>
          </cell>
          <cell r="G213">
            <v>685</v>
          </cell>
        </row>
        <row r="214">
          <cell r="A214" t="str">
            <v>31-2000319</v>
          </cell>
          <cell r="B214" t="str">
            <v>QUICK CONNECT PLUG, 70MM2, 300A, RED</v>
          </cell>
          <cell r="E214">
            <v>181.78354999999999</v>
          </cell>
          <cell r="G214">
            <v>685</v>
          </cell>
        </row>
        <row r="215">
          <cell r="A215" t="str">
            <v>31-2000332</v>
          </cell>
          <cell r="B215" t="str">
            <v>FERRULE, BOOTLACE, UNINSULATED, 10MM2</v>
          </cell>
          <cell r="E215">
            <v>0</v>
          </cell>
          <cell r="G215">
            <v>0</v>
          </cell>
        </row>
        <row r="216">
          <cell r="A216" t="str">
            <v>31-2000343</v>
          </cell>
          <cell r="B216" t="str">
            <v>SWITCH, 4P, 4W, NO</v>
          </cell>
          <cell r="E216">
            <v>52.873779999999996</v>
          </cell>
          <cell r="G216">
            <v>629</v>
          </cell>
        </row>
        <row r="217">
          <cell r="A217" t="str">
            <v>31-2000346</v>
          </cell>
          <cell r="B217" t="str">
            <v>LUG, RING, 2,5X4, NPC</v>
          </cell>
          <cell r="E217">
            <v>0.82089000000000001</v>
          </cell>
          <cell r="G217">
            <v>7143</v>
          </cell>
        </row>
        <row r="218">
          <cell r="A218" t="str">
            <v>31-2000347</v>
          </cell>
          <cell r="B218" t="str">
            <v>LUG, RING, 6X4, NPC</v>
          </cell>
          <cell r="E218">
            <v>1.4792400000000001</v>
          </cell>
          <cell r="G218">
            <v>2930</v>
          </cell>
        </row>
        <row r="219">
          <cell r="A219" t="str">
            <v>31-2000353</v>
          </cell>
          <cell r="B219" t="str">
            <v>BULLET DISCONNECTOR, MALE, 2-5, INSULATED</v>
          </cell>
          <cell r="E219">
            <v>0.51</v>
          </cell>
          <cell r="G219">
            <v>954</v>
          </cell>
        </row>
        <row r="220">
          <cell r="A220" t="str">
            <v>31-2000354</v>
          </cell>
          <cell r="B220" t="str">
            <v>BULLET DISCONNECTOR, FEMALE, 2-5, INSULATED</v>
          </cell>
          <cell r="E220">
            <v>0.61807000000000001</v>
          </cell>
          <cell r="G220">
            <v>1349</v>
          </cell>
        </row>
        <row r="221">
          <cell r="A221" t="str">
            <v>31-2000355</v>
          </cell>
          <cell r="B221" t="str">
            <v>BULLET DISCONNECTOR, MALE, 5-5, INSULATED</v>
          </cell>
          <cell r="E221">
            <v>0.86075999999999997</v>
          </cell>
          <cell r="G221">
            <v>4325</v>
          </cell>
        </row>
        <row r="222">
          <cell r="A222" t="str">
            <v>31-2000356</v>
          </cell>
          <cell r="B222" t="str">
            <v>BULLET DISCONNECTOR, FEMALE, 5-5, INSULATED</v>
          </cell>
          <cell r="E222">
            <v>0.81401000000000001</v>
          </cell>
          <cell r="G222">
            <v>28418</v>
          </cell>
        </row>
        <row r="223">
          <cell r="A223" t="str">
            <v>31-2000378</v>
          </cell>
          <cell r="B223" t="str">
            <v>Switch, 2P, 2W, NO</v>
          </cell>
          <cell r="E223">
            <v>0</v>
          </cell>
          <cell r="G223">
            <v>0</v>
          </cell>
        </row>
        <row r="224">
          <cell r="A224" t="str">
            <v>31-2000379</v>
          </cell>
          <cell r="B224" t="str">
            <v>BUSSBAR, 7 WAY, DIN MOUNT, GREEN</v>
          </cell>
          <cell r="E224">
            <v>24.772829999999999</v>
          </cell>
          <cell r="G224">
            <v>0</v>
          </cell>
        </row>
        <row r="225">
          <cell r="A225" t="str">
            <v>31-2000392</v>
          </cell>
          <cell r="B225" t="str">
            <v>ROUND PLUG, 3P, 20A, FEMALE</v>
          </cell>
          <cell r="E225">
            <v>68.308750000000003</v>
          </cell>
          <cell r="G225">
            <v>605</v>
          </cell>
        </row>
        <row r="226">
          <cell r="A226" t="str">
            <v>31-2000393</v>
          </cell>
          <cell r="B226" t="str">
            <v>ROUND PLUG, 3P, 20A, MALE</v>
          </cell>
          <cell r="E226">
            <v>85.8</v>
          </cell>
          <cell r="G226">
            <v>594</v>
          </cell>
        </row>
        <row r="227">
          <cell r="A227" t="str">
            <v>31-2000408</v>
          </cell>
          <cell r="B227" t="str">
            <v>FERRULE, INSULATED, 0.25-8</v>
          </cell>
          <cell r="E227">
            <v>0</v>
          </cell>
          <cell r="G227">
            <v>0</v>
          </cell>
        </row>
        <row r="228">
          <cell r="A228" t="str">
            <v>31-2000410</v>
          </cell>
          <cell r="B228" t="str">
            <v>RJ45 BOOT (GREY)</v>
          </cell>
          <cell r="E228">
            <v>0.66107000000000005</v>
          </cell>
          <cell r="G228">
            <v>259</v>
          </cell>
        </row>
        <row r="229">
          <cell r="A229" t="str">
            <v>31-2000411</v>
          </cell>
          <cell r="B229" t="str">
            <v>CONN, 6POS 2MM DUAL CRIMP</v>
          </cell>
          <cell r="E229">
            <v>3.29</v>
          </cell>
          <cell r="G229">
            <v>0</v>
          </cell>
        </row>
        <row r="230">
          <cell r="A230" t="str">
            <v>31-2000420</v>
          </cell>
          <cell r="B230" t="str">
            <v>CRIMP, SOCKET CONTACT GOLD 24-28 AWG</v>
          </cell>
          <cell r="E230">
            <v>0.57399</v>
          </cell>
          <cell r="G230">
            <v>588</v>
          </cell>
        </row>
        <row r="231">
          <cell r="A231" t="str">
            <v>31-2000421</v>
          </cell>
          <cell r="B231" t="str">
            <v>CRIMP - SOCKET CONTACT TIN 22-26 AWG CRIMP</v>
          </cell>
          <cell r="E231">
            <v>0</v>
          </cell>
          <cell r="G231">
            <v>0</v>
          </cell>
        </row>
        <row r="232">
          <cell r="A232" t="str">
            <v>31-2000424</v>
          </cell>
          <cell r="B232" t="str">
            <v>CRIMP - PIN CONTACT 20-22AWG</v>
          </cell>
          <cell r="E232">
            <v>0</v>
          </cell>
          <cell r="G232">
            <v>0</v>
          </cell>
        </row>
        <row r="233">
          <cell r="A233" t="str">
            <v>31-2000431</v>
          </cell>
          <cell r="B233" t="str">
            <v>FERRULE, BOOTLACE, UNINSULATED, 6-12</v>
          </cell>
          <cell r="E233">
            <v>0.23407</v>
          </cell>
          <cell r="G233">
            <v>299</v>
          </cell>
        </row>
        <row r="234">
          <cell r="A234" t="str">
            <v>31-2000433</v>
          </cell>
          <cell r="B234" t="str">
            <v>CONN - 4POS (1X4) 2MM HOUSING RECEPTACLE</v>
          </cell>
          <cell r="E234">
            <v>0</v>
          </cell>
          <cell r="G234">
            <v>0</v>
          </cell>
        </row>
        <row r="235">
          <cell r="A235" t="str">
            <v>31-2000434</v>
          </cell>
          <cell r="B235" t="str">
            <v xml:space="preserve">CRIMP - SPLICE 18-22 AWG </v>
          </cell>
          <cell r="E235">
            <v>0</v>
          </cell>
          <cell r="G235">
            <v>0</v>
          </cell>
        </row>
        <row r="236">
          <cell r="A236" t="str">
            <v>31-2000441</v>
          </cell>
          <cell r="B236" t="str">
            <v>FERRULE, BOOTLACE, 2.5-10</v>
          </cell>
          <cell r="E236">
            <v>9.425E-2</v>
          </cell>
          <cell r="G236">
            <v>0</v>
          </cell>
        </row>
        <row r="237">
          <cell r="A237" t="str">
            <v>31-2000448</v>
          </cell>
          <cell r="B237" t="str">
            <v>CONN FINE PITCH CONNECTOR HDR 20 POS 0.5MM SOLDER ST SMD BERGSTAK® T/R</v>
          </cell>
          <cell r="E237">
            <v>12.071999999999999</v>
          </cell>
          <cell r="G237">
            <v>1000</v>
          </cell>
        </row>
        <row r="238">
          <cell r="A238" t="str">
            <v>31-2000449</v>
          </cell>
          <cell r="B238" t="str">
            <v>1.25MM (.049") PITCH PICOBLADE HEADER, SURFACE MOUNT, VERTICAL, LEAD-FREE, 2 CIRCUITS</v>
          </cell>
          <cell r="E238">
            <v>0</v>
          </cell>
          <cell r="G238">
            <v>0</v>
          </cell>
        </row>
        <row r="239">
          <cell r="A239" t="str">
            <v>31-2000450</v>
          </cell>
          <cell r="B239" t="str">
            <v>501951 SERIES 0.5MM PITCH 50 WAY VERTICAL SMT MALE FPC CONNECTOR; SOLDER</v>
          </cell>
          <cell r="E239">
            <v>25.93526</v>
          </cell>
          <cell r="G239">
            <v>4000</v>
          </cell>
        </row>
        <row r="240">
          <cell r="A240" t="str">
            <v>31-2000458</v>
          </cell>
          <cell r="B240" t="str">
            <v>LUG, RING, 2.5X6, NPC</v>
          </cell>
          <cell r="E240">
            <v>0.71628999999999998</v>
          </cell>
          <cell r="G240">
            <v>0</v>
          </cell>
        </row>
        <row r="241">
          <cell r="A241" t="str">
            <v>31-2000463</v>
          </cell>
          <cell r="B241" t="str">
            <v>TERMINAL BLOCK, 10MM2, GREY</v>
          </cell>
          <cell r="E241">
            <v>0</v>
          </cell>
          <cell r="G241">
            <v>0</v>
          </cell>
        </row>
        <row r="242">
          <cell r="A242" t="str">
            <v>31-2000471</v>
          </cell>
          <cell r="B242" t="str">
            <v>PANEL MOUNT, USB A, 500MM, BLACK</v>
          </cell>
          <cell r="E242">
            <v>30.90137</v>
          </cell>
          <cell r="G242">
            <v>2708</v>
          </cell>
        </row>
        <row r="243">
          <cell r="A243" t="str">
            <v>31-2000474</v>
          </cell>
          <cell r="B243" t="str">
            <v>PANEL MOUNT, FIGURE 8, AC,  POWER PLUG, BLACK</v>
          </cell>
          <cell r="E243">
            <v>13</v>
          </cell>
          <cell r="G243">
            <v>960</v>
          </cell>
        </row>
        <row r="244">
          <cell r="A244" t="str">
            <v>31-2000477</v>
          </cell>
          <cell r="B244" t="str">
            <v xml:space="preserve">FUSE HOLDER, 5X20, BLACK </v>
          </cell>
          <cell r="E244">
            <v>9.6300000000000008</v>
          </cell>
          <cell r="G244">
            <v>2995</v>
          </cell>
        </row>
        <row r="245">
          <cell r="A245" t="str">
            <v>31-2000479</v>
          </cell>
          <cell r="B245" t="str">
            <v>CRABTREE, SINGLE PLUG W/SWITCH</v>
          </cell>
          <cell r="E245">
            <v>62.50685</v>
          </cell>
          <cell r="G245">
            <v>3143</v>
          </cell>
        </row>
        <row r="246">
          <cell r="A246" t="str">
            <v>31-2000514</v>
          </cell>
          <cell r="B246" t="str">
            <v xml:space="preserve">SPADE FERRULE, INSULATED, 1,5-5, RED </v>
          </cell>
          <cell r="E246">
            <v>163.19999999999999</v>
          </cell>
          <cell r="G246">
            <v>0</v>
          </cell>
        </row>
        <row r="247">
          <cell r="A247" t="str">
            <v>31-2000520</v>
          </cell>
          <cell r="B247" t="str">
            <v>SPADE FERULE, INSULATED, 1.5-3.2</v>
          </cell>
          <cell r="E247">
            <v>15.664999999999999</v>
          </cell>
          <cell r="G247">
            <v>0</v>
          </cell>
        </row>
        <row r="248">
          <cell r="A248" t="str">
            <v>31-2000531</v>
          </cell>
          <cell r="B248" t="str">
            <v>TERMINAL BLOCK, 2P SIDE ENTRY, 1MM2, PITCH 2.54MM</v>
          </cell>
          <cell r="E248">
            <v>2.8</v>
          </cell>
          <cell r="G248">
            <v>0</v>
          </cell>
        </row>
        <row r="249">
          <cell r="A249" t="str">
            <v>31-2000548</v>
          </cell>
          <cell r="B249" t="str">
            <v>TERMINAL BLOCK, 6P SIDE ENTRY, 2.5MM2, PITCH 5MM</v>
          </cell>
          <cell r="E249">
            <v>1.75</v>
          </cell>
          <cell r="G249">
            <v>0</v>
          </cell>
        </row>
        <row r="250">
          <cell r="A250" t="str">
            <v>31-2000559</v>
          </cell>
          <cell r="B250" t="str">
            <v>BUTT CONNECTOR, 1.5</v>
          </cell>
          <cell r="E250">
            <v>8.58</v>
          </cell>
          <cell r="G250">
            <v>0</v>
          </cell>
        </row>
        <row r="251">
          <cell r="A251" t="str">
            <v>31-2000580</v>
          </cell>
          <cell r="B251" t="str">
            <v>CONNECTOR, MC4 PV, FEMALE BLACK</v>
          </cell>
          <cell r="E251">
            <v>7.56365</v>
          </cell>
          <cell r="G251">
            <v>9149</v>
          </cell>
        </row>
        <row r="252">
          <cell r="A252" t="str">
            <v>31-2000581</v>
          </cell>
          <cell r="B252" t="str">
            <v>CONNECTOR, MC4 PV, MALE, BLACK</v>
          </cell>
          <cell r="E252">
            <v>5.7885400000000002</v>
          </cell>
          <cell r="G252">
            <v>9260</v>
          </cell>
        </row>
        <row r="253">
          <cell r="A253" t="str">
            <v>31-2000598</v>
          </cell>
          <cell r="B253" t="str">
            <v>6MM2 CABLE GLAND</v>
          </cell>
          <cell r="E253">
            <v>2.02</v>
          </cell>
          <cell r="G253">
            <v>0</v>
          </cell>
        </row>
        <row r="254">
          <cell r="A254" t="str">
            <v>31-2000599</v>
          </cell>
          <cell r="B254" t="str">
            <v>10MM2 CABLE GLAND</v>
          </cell>
          <cell r="E254">
            <v>2.7567400000000002</v>
          </cell>
          <cell r="G254">
            <v>162</v>
          </cell>
        </row>
        <row r="255">
          <cell r="A255" t="str">
            <v>31-2000604</v>
          </cell>
          <cell r="B255" t="str">
            <v>BUSSBAR, 7 WAY, DIN MOUNT, BLUE</v>
          </cell>
          <cell r="E255">
            <v>24.45316</v>
          </cell>
          <cell r="G255">
            <v>0</v>
          </cell>
        </row>
        <row r="256">
          <cell r="A256" t="str">
            <v>31-2000650</v>
          </cell>
          <cell r="B256" t="str">
            <v>BUSBAR 600A 8WAY BLACK AOA1149-C</v>
          </cell>
          <cell r="E256">
            <v>945.88144999999997</v>
          </cell>
          <cell r="G256">
            <v>710</v>
          </cell>
        </row>
        <row r="257">
          <cell r="A257" t="str">
            <v>31-2000651</v>
          </cell>
          <cell r="B257" t="str">
            <v>BUSBAR 600A 8WAY RED AOA1149C</v>
          </cell>
          <cell r="E257">
            <v>956.50721999999996</v>
          </cell>
          <cell r="G257">
            <v>706</v>
          </cell>
        </row>
        <row r="258">
          <cell r="A258" t="str">
            <v>31-2000669</v>
          </cell>
          <cell r="B258" t="str">
            <v>CONNECTOR, MC4, PV, PANEL MOUNT, MALE, BLACK</v>
          </cell>
          <cell r="E258">
            <v>4.0651099999999998</v>
          </cell>
          <cell r="G258">
            <v>11634</v>
          </cell>
        </row>
        <row r="259">
          <cell r="A259" t="str">
            <v>31-2000670</v>
          </cell>
          <cell r="B259" t="str">
            <v>CONNECTOR, MC4, PV, PANEL MOUNT, FEMALE, BLACK</v>
          </cell>
          <cell r="E259">
            <v>4.1059400000000004</v>
          </cell>
          <cell r="G259">
            <v>11722</v>
          </cell>
        </row>
        <row r="260">
          <cell r="A260" t="str">
            <v>31-2000704</v>
          </cell>
          <cell r="B260" t="str">
            <v>TERMINAL BLOCK, 8P SIDE ENTRY, 1MM2, PITCH 3.5MM</v>
          </cell>
          <cell r="E260">
            <v>9.7402599999999993</v>
          </cell>
          <cell r="G260">
            <v>430</v>
          </cell>
        </row>
        <row r="261">
          <cell r="A261" t="str">
            <v>31-2000739</v>
          </cell>
          <cell r="B261" t="str">
            <v>CABLE CLIP</v>
          </cell>
          <cell r="E261">
            <v>5.0255599999999996</v>
          </cell>
          <cell r="G261">
            <v>2808</v>
          </cell>
        </row>
        <row r="262">
          <cell r="A262" t="str">
            <v>31-2000743</v>
          </cell>
          <cell r="B262" t="str">
            <v>CONNECTOR, C14, 10A, 250V, SNAP-IN, 2.5MM PANEL</v>
          </cell>
          <cell r="E262">
            <v>15.4</v>
          </cell>
          <cell r="G262">
            <v>1877</v>
          </cell>
        </row>
        <row r="263">
          <cell r="A263" t="str">
            <v>31-2000748</v>
          </cell>
          <cell r="B263" t="str">
            <v>HEADER, SIL, STRAIGHT, P2.54mm, L11.4mm</v>
          </cell>
          <cell r="E263">
            <v>0.37402999999999997</v>
          </cell>
          <cell r="G263">
            <v>5917</v>
          </cell>
        </row>
        <row r="264">
          <cell r="A264" t="str">
            <v>31-2000749</v>
          </cell>
          <cell r="B264" t="str">
            <v>Header, SIL, Straight, P5mm, L12.6mm</v>
          </cell>
          <cell r="E264">
            <v>0.30508000000000002</v>
          </cell>
          <cell r="G264">
            <v>8662</v>
          </cell>
        </row>
        <row r="265">
          <cell r="A265" t="str">
            <v>31-2000805</v>
          </cell>
          <cell r="B265" t="str">
            <v>Lug, Ring. 16x8, NPC</v>
          </cell>
          <cell r="E265">
            <v>3.3456600000000001</v>
          </cell>
          <cell r="G265">
            <v>173</v>
          </cell>
        </row>
        <row r="266">
          <cell r="A266" t="str">
            <v>31-2000837</v>
          </cell>
          <cell r="B266" t="str">
            <v>LUG,RING,16X12,NPC</v>
          </cell>
          <cell r="E266">
            <v>8.1999999999999993</v>
          </cell>
          <cell r="G266">
            <v>0</v>
          </cell>
        </row>
        <row r="267">
          <cell r="A267" t="str">
            <v>31-2000838</v>
          </cell>
          <cell r="B267" t="str">
            <v>Terminal, Rail Mount, 16mm2, Grey</v>
          </cell>
          <cell r="E267">
            <v>25.120550000000001</v>
          </cell>
          <cell r="G267">
            <v>145</v>
          </cell>
        </row>
        <row r="268">
          <cell r="A268" t="str">
            <v>31-2000839</v>
          </cell>
          <cell r="B268" t="str">
            <v>Terminal, End Plate, 16mm2, Grey</v>
          </cell>
          <cell r="E268">
            <v>6.6367599999999998</v>
          </cell>
          <cell r="G268">
            <v>1001</v>
          </cell>
        </row>
        <row r="269">
          <cell r="A269" t="str">
            <v>31-2000844</v>
          </cell>
          <cell r="B269" t="str">
            <v>SOCKET CONTACT TIN 18-24 AWG CRIMP POWER</v>
          </cell>
          <cell r="E269">
            <v>2.74</v>
          </cell>
          <cell r="G269">
            <v>100</v>
          </cell>
        </row>
        <row r="270">
          <cell r="A270" t="str">
            <v>31-2000846</v>
          </cell>
          <cell r="B270" t="str">
            <v>CONNECTOR, P=1.50MM, 1X4, CLIK-MATE PLUG HOUSING</v>
          </cell>
          <cell r="E270">
            <v>4.54</v>
          </cell>
          <cell r="G270">
            <v>0</v>
          </cell>
        </row>
        <row r="271">
          <cell r="A271" t="str">
            <v>31-2000847</v>
          </cell>
          <cell r="B271" t="str">
            <v>CONNECTOR, P=1.50MM, 1X2, CLIK-MATE PLUG HOUSING</v>
          </cell>
          <cell r="E271">
            <v>4.29</v>
          </cell>
          <cell r="G271">
            <v>0</v>
          </cell>
        </row>
        <row r="272">
          <cell r="A272" t="str">
            <v>31-2000848</v>
          </cell>
          <cell r="B272" t="str">
            <v>CRIMP, P=1.50MM, TIN, 24-28 AWG, CLIK-MATE CRIMP SOCKET</v>
          </cell>
          <cell r="E272">
            <v>0.37</v>
          </cell>
          <cell r="G272">
            <v>14800</v>
          </cell>
        </row>
        <row r="273">
          <cell r="A273" t="str">
            <v>31-2000871</v>
          </cell>
          <cell r="B273" t="str">
            <v>LUG, RING, 1X4, INSULATED</v>
          </cell>
          <cell r="E273">
            <v>0.62</v>
          </cell>
          <cell r="G273">
            <v>10290</v>
          </cell>
        </row>
        <row r="274">
          <cell r="A274" t="str">
            <v>31-2000879</v>
          </cell>
          <cell r="B274" t="str">
            <v>GROMMET, WIRE, 22M ID</v>
          </cell>
          <cell r="E274">
            <v>3.01</v>
          </cell>
          <cell r="G274">
            <v>1021</v>
          </cell>
        </row>
        <row r="275">
          <cell r="A275" t="str">
            <v>31-2000947</v>
          </cell>
          <cell r="B275" t="str">
            <v>FERRULE, BOOTLACE, INSULATED, 10X12</v>
          </cell>
          <cell r="E275">
            <v>0.45133000000000001</v>
          </cell>
          <cell r="G275">
            <v>27237</v>
          </cell>
        </row>
        <row r="276">
          <cell r="A276" t="str">
            <v>31-2000948</v>
          </cell>
          <cell r="B276" t="str">
            <v>FERRULE, BOOTLACE, INSULATED, 10X14, TWIN</v>
          </cell>
          <cell r="E276">
            <v>1.46976</v>
          </cell>
          <cell r="G276">
            <v>4369</v>
          </cell>
        </row>
        <row r="277">
          <cell r="A277" t="str">
            <v>31-2000957</v>
          </cell>
          <cell r="B277" t="str">
            <v>CONNECTOR, PANEL MOUNT, RJ12, FEMALE, QUICK CONNECT TERMINAL</v>
          </cell>
          <cell r="E277">
            <v>75.429829999999995</v>
          </cell>
          <cell r="G277">
            <v>2348</v>
          </cell>
        </row>
        <row r="278">
          <cell r="A278" t="str">
            <v>31-2000962</v>
          </cell>
          <cell r="B278" t="str">
            <v>BATTERY TERMINAL, BUSBAR</v>
          </cell>
          <cell r="E278">
            <v>20.950220000000002</v>
          </cell>
          <cell r="G278">
            <v>4522</v>
          </cell>
        </row>
        <row r="279">
          <cell r="A279" t="str">
            <v>31-2000976</v>
          </cell>
          <cell r="B279" t="str">
            <v>LUG, RING, 35X10, NPC</v>
          </cell>
          <cell r="E279">
            <v>6.6197999999999997</v>
          </cell>
          <cell r="G279">
            <v>442</v>
          </cell>
        </row>
        <row r="280">
          <cell r="A280" t="str">
            <v>31-2000982</v>
          </cell>
          <cell r="B280" t="str">
            <v>Ferrule, Bootlace, Insulated, 0.5x8</v>
          </cell>
          <cell r="E280">
            <v>0.15265999999999999</v>
          </cell>
          <cell r="G280">
            <v>2608</v>
          </cell>
        </row>
        <row r="281">
          <cell r="A281" t="str">
            <v>31-2000986</v>
          </cell>
          <cell r="B281" t="str">
            <v>CRIMP, SOCKET CONTACT, GOLD, 22AWG</v>
          </cell>
          <cell r="E281">
            <v>2.0499999999999998</v>
          </cell>
          <cell r="G281">
            <v>0</v>
          </cell>
        </row>
        <row r="282">
          <cell r="A282" t="str">
            <v>31-2000988</v>
          </cell>
          <cell r="B282" t="str">
            <v>Grommet, blanking, 25mm</v>
          </cell>
          <cell r="E282">
            <v>8.5299999999999994</v>
          </cell>
          <cell r="G282">
            <v>642</v>
          </cell>
        </row>
        <row r="283">
          <cell r="A283" t="str">
            <v>31-2001009</v>
          </cell>
          <cell r="B283" t="str">
            <v>CONN, RJ12, CLEAR</v>
          </cell>
          <cell r="E283">
            <v>0.85470000000000002</v>
          </cell>
          <cell r="G283">
            <v>479</v>
          </cell>
        </row>
        <row r="284">
          <cell r="A284" t="str">
            <v>31-2001010</v>
          </cell>
          <cell r="B284" t="str">
            <v xml:space="preserve">CONN, SOCKET, 20 POS, 2MM PITCH, 2 ROWS, BLACK </v>
          </cell>
          <cell r="E284">
            <v>4.6100000000000003</v>
          </cell>
          <cell r="G284">
            <v>0</v>
          </cell>
        </row>
        <row r="285">
          <cell r="A285" t="str">
            <v>31-2001018</v>
          </cell>
          <cell r="B285" t="str">
            <v>LUG, RING, 25X6, NPC</v>
          </cell>
          <cell r="E285">
            <v>4.7856899999999998</v>
          </cell>
          <cell r="G285">
            <v>2947</v>
          </cell>
        </row>
        <row r="286">
          <cell r="A286" t="str">
            <v>31-2001019</v>
          </cell>
          <cell r="B286" t="str">
            <v>FERRULE, BOOTLACE, INSLATED, 25X16</v>
          </cell>
          <cell r="E286">
            <v>1.57507</v>
          </cell>
          <cell r="G286">
            <v>3938</v>
          </cell>
        </row>
        <row r="287">
          <cell r="A287" t="str">
            <v>31-2001031</v>
          </cell>
          <cell r="B287" t="str">
            <v>Ferrule, Bootlace, Insulated, 6x12</v>
          </cell>
          <cell r="E287">
            <v>0.46510000000000001</v>
          </cell>
          <cell r="G287">
            <v>11988</v>
          </cell>
        </row>
        <row r="288">
          <cell r="A288" t="str">
            <v>31-2001041</v>
          </cell>
          <cell r="B288" t="str">
            <v>GROMMET, BLANKING, 20MM ID</v>
          </cell>
          <cell r="E288">
            <v>6.55</v>
          </cell>
          <cell r="G288">
            <v>274</v>
          </cell>
        </row>
        <row r="289">
          <cell r="A289" t="str">
            <v>31-2001042</v>
          </cell>
          <cell r="B289" t="str">
            <v>GROMMET, WIRE, 20MM ID</v>
          </cell>
          <cell r="E289">
            <v>2.86985</v>
          </cell>
          <cell r="G289">
            <v>1656</v>
          </cell>
        </row>
        <row r="290">
          <cell r="A290" t="str">
            <v>31-2001051</v>
          </cell>
          <cell r="B290" t="str">
            <v>LUG, RING, 25X5, NPC</v>
          </cell>
          <cell r="E290">
            <v>7.4</v>
          </cell>
          <cell r="G290">
            <v>741</v>
          </cell>
        </row>
        <row r="291">
          <cell r="A291" t="str">
            <v>31-2001054</v>
          </cell>
          <cell r="B291" t="str">
            <v>Lug, Ring, 70x10, NPC</v>
          </cell>
          <cell r="E291">
            <v>16.38</v>
          </cell>
          <cell r="G291">
            <v>74</v>
          </cell>
        </row>
        <row r="292">
          <cell r="A292" t="str">
            <v>31-2001062</v>
          </cell>
          <cell r="B292" t="str">
            <v>Grommet, Wire, 13mm, 9,5mm ID</v>
          </cell>
          <cell r="E292">
            <v>1.1321000000000001</v>
          </cell>
          <cell r="G292">
            <v>1350</v>
          </cell>
        </row>
        <row r="293">
          <cell r="A293" t="str">
            <v>31-2001065</v>
          </cell>
          <cell r="B293" t="str">
            <v>Socket, 2-Pin, 2.5A, 200V</v>
          </cell>
          <cell r="E293">
            <v>55.195010000000003</v>
          </cell>
          <cell r="G293">
            <v>377</v>
          </cell>
        </row>
        <row r="294">
          <cell r="A294" t="str">
            <v>31-2001072</v>
          </cell>
          <cell r="B294" t="str">
            <v>Conn, Rectangular, 3x2, p=1.50,  CLIK-Mate, Board-Cable</v>
          </cell>
          <cell r="E294">
            <v>8.9382699999999993</v>
          </cell>
          <cell r="G294">
            <v>402</v>
          </cell>
        </row>
        <row r="295">
          <cell r="A295" t="str">
            <v>31-2001073</v>
          </cell>
          <cell r="B295" t="str">
            <v xml:space="preserve">Conn, 6 pos, P=2, 3x2, Male, Through hole, Right angled </v>
          </cell>
          <cell r="E295">
            <v>6.2978699999999996</v>
          </cell>
          <cell r="G295">
            <v>919</v>
          </cell>
        </row>
        <row r="296">
          <cell r="A296" t="str">
            <v>31-2001083</v>
          </cell>
          <cell r="B296" t="str">
            <v>Conn, 2 Pos, P=1.5, CLIK-Mate, Through Hole</v>
          </cell>
          <cell r="E296">
            <v>5.1318599999999996</v>
          </cell>
          <cell r="G296">
            <v>0</v>
          </cell>
        </row>
        <row r="297">
          <cell r="A297" t="str">
            <v>31-2001092</v>
          </cell>
          <cell r="B297" t="str">
            <v>Conn, RCPT, 4pos, P=1.50mm, Through Hole</v>
          </cell>
          <cell r="E297">
            <v>7.1531500000000001</v>
          </cell>
          <cell r="G297">
            <v>2294</v>
          </cell>
        </row>
        <row r="298">
          <cell r="A298" t="str">
            <v>31-2001093</v>
          </cell>
          <cell r="B298" t="str">
            <v>Conn, RCPT, Center Strip Contact, 20pos, P=0.5, SMD</v>
          </cell>
          <cell r="E298">
            <v>12.548</v>
          </cell>
          <cell r="G298">
            <v>1500</v>
          </cell>
        </row>
        <row r="299">
          <cell r="A299" t="str">
            <v>31-2001121</v>
          </cell>
          <cell r="B299" t="str">
            <v>Header, SIL, Straight, P2.54mm, 6pos</v>
          </cell>
          <cell r="E299">
            <v>0</v>
          </cell>
          <cell r="G299">
            <v>0</v>
          </cell>
        </row>
        <row r="300">
          <cell r="A300" t="str">
            <v>31-2001122</v>
          </cell>
          <cell r="B300" t="str">
            <v>Header, SIL, Straight, P1.27mm, 4pos</v>
          </cell>
          <cell r="E300">
            <v>0</v>
          </cell>
          <cell r="G300">
            <v>0</v>
          </cell>
        </row>
        <row r="301">
          <cell r="A301" t="str">
            <v>31-2001123</v>
          </cell>
          <cell r="B301" t="str">
            <v>Header, SIL, Straight, P2.54mm, 2pos</v>
          </cell>
          <cell r="E301">
            <v>0</v>
          </cell>
          <cell r="G301">
            <v>0</v>
          </cell>
        </row>
        <row r="302">
          <cell r="A302" t="str">
            <v>31-2001224</v>
          </cell>
          <cell r="B302" t="str">
            <v>Ferrule, Bootlace, Insulated, 16x12</v>
          </cell>
          <cell r="E302">
            <v>0</v>
          </cell>
          <cell r="G302">
            <v>0</v>
          </cell>
        </row>
        <row r="303">
          <cell r="A303" t="str">
            <v>31-2001225</v>
          </cell>
          <cell r="B303" t="str">
            <v>Ferrule, Bootlace, Insulated, 16x16, Twin</v>
          </cell>
          <cell r="E303">
            <v>0</v>
          </cell>
          <cell r="G303">
            <v>0</v>
          </cell>
        </row>
        <row r="304">
          <cell r="A304" t="str">
            <v>31-2001260</v>
          </cell>
          <cell r="B304" t="str">
            <v>Ferrule, Blade Terminal, uninsulated, 10mm</v>
          </cell>
          <cell r="E304">
            <v>3.2023199999999998</v>
          </cell>
          <cell r="G304">
            <v>6087</v>
          </cell>
        </row>
        <row r="305">
          <cell r="A305" t="str">
            <v>31-2001266</v>
          </cell>
          <cell r="B305" t="str">
            <v xml:space="preserve">Gland, 40, Nickel Metal, Silver </v>
          </cell>
          <cell r="E305">
            <v>75.900000000000006</v>
          </cell>
          <cell r="G305">
            <v>43</v>
          </cell>
        </row>
        <row r="306">
          <cell r="A306" t="str">
            <v>31-2001267</v>
          </cell>
          <cell r="B306" t="str">
            <v>Grommet, blanking, 44mm ID</v>
          </cell>
          <cell r="E306">
            <v>44.604999999999997</v>
          </cell>
          <cell r="G306">
            <v>40</v>
          </cell>
        </row>
        <row r="307">
          <cell r="A307" t="str">
            <v>31-2001268</v>
          </cell>
          <cell r="B307" t="str">
            <v xml:space="preserve">Gland, 32, Nylon, Black </v>
          </cell>
          <cell r="E307">
            <v>8.1999999999999993</v>
          </cell>
          <cell r="G307">
            <v>305</v>
          </cell>
        </row>
        <row r="308">
          <cell r="A308" t="str">
            <v>31-2001299</v>
          </cell>
          <cell r="B308" t="str">
            <v>Gland, Rotary Cone, 30mm</v>
          </cell>
          <cell r="E308">
            <v>112.74</v>
          </cell>
          <cell r="G308">
            <v>138</v>
          </cell>
        </row>
        <row r="309">
          <cell r="A309" t="str">
            <v>31-2001300</v>
          </cell>
          <cell r="B309" t="str">
            <v>Gland, Earth Tag, No3</v>
          </cell>
          <cell r="E309">
            <v>38.43</v>
          </cell>
          <cell r="G309">
            <v>139</v>
          </cell>
        </row>
        <row r="310">
          <cell r="A310" t="str">
            <v>31-2001301</v>
          </cell>
          <cell r="B310" t="str">
            <v>Gland, Shroud, PVC No3</v>
          </cell>
          <cell r="E310">
            <v>8.5500000000000007</v>
          </cell>
          <cell r="G310">
            <v>138</v>
          </cell>
        </row>
        <row r="311">
          <cell r="A311" t="str">
            <v>31-2001302</v>
          </cell>
          <cell r="B311" t="str">
            <v>Gland, 20, Light Grey, Locknut included</v>
          </cell>
          <cell r="E311">
            <v>0</v>
          </cell>
          <cell r="G311">
            <v>0</v>
          </cell>
        </row>
        <row r="312">
          <cell r="A312" t="str">
            <v>31-2001308</v>
          </cell>
          <cell r="B312" t="str">
            <v>Conn, RJ45, Male, Cat6 FTP</v>
          </cell>
          <cell r="E312">
            <v>0</v>
          </cell>
          <cell r="G312">
            <v>0</v>
          </cell>
        </row>
        <row r="313">
          <cell r="A313" t="str">
            <v>31-2001309</v>
          </cell>
          <cell r="B313" t="str">
            <v>Boot, RJ45-6FTP, Black</v>
          </cell>
          <cell r="E313">
            <v>0</v>
          </cell>
          <cell r="G313">
            <v>0</v>
          </cell>
        </row>
        <row r="314">
          <cell r="A314" t="str">
            <v>31-2001312</v>
          </cell>
          <cell r="B314" t="str">
            <v>Gland, Rotary Cone, 49mm</v>
          </cell>
          <cell r="E314">
            <v>391.68</v>
          </cell>
          <cell r="G314">
            <v>146</v>
          </cell>
        </row>
        <row r="315">
          <cell r="A315" t="str">
            <v>31-2001313</v>
          </cell>
          <cell r="B315" t="str">
            <v>Gland, Earth Tag, No5</v>
          </cell>
          <cell r="E315">
            <v>53.39</v>
          </cell>
          <cell r="G315">
            <v>147</v>
          </cell>
        </row>
        <row r="316">
          <cell r="A316" t="str">
            <v>31-2001314</v>
          </cell>
          <cell r="B316" t="str">
            <v>Gland, Shroud, PVC No5</v>
          </cell>
          <cell r="E316">
            <v>16.489999999999998</v>
          </cell>
          <cell r="G316">
            <v>146</v>
          </cell>
        </row>
        <row r="317">
          <cell r="A317" t="str">
            <v>31-2001346</v>
          </cell>
          <cell r="B317" t="str">
            <v>Ferrule, Blade Terminal, uninsulated, 16mm</v>
          </cell>
          <cell r="E317">
            <v>6.64337</v>
          </cell>
          <cell r="G317">
            <v>22</v>
          </cell>
        </row>
        <row r="318">
          <cell r="A318" t="str">
            <v>31-2001347</v>
          </cell>
          <cell r="B318" t="str">
            <v>Ferrule, Blade Terminal, uninsulated, 25mm</v>
          </cell>
          <cell r="E318">
            <v>6.9886900000000001</v>
          </cell>
          <cell r="G318">
            <v>4958</v>
          </cell>
        </row>
        <row r="319">
          <cell r="A319" t="str">
            <v>31-2001423</v>
          </cell>
          <cell r="B319" t="str">
            <v>Ferrule, Pin Terminal, Uninsulated, 16mm</v>
          </cell>
          <cell r="E319">
            <v>5.42</v>
          </cell>
          <cell r="G319">
            <v>3852</v>
          </cell>
        </row>
        <row r="320">
          <cell r="A320" t="str">
            <v>31-2001479</v>
          </cell>
          <cell r="B320" t="str">
            <v>6mm2 RAIL MOUNT TERMINAL</v>
          </cell>
          <cell r="E320">
            <v>0</v>
          </cell>
          <cell r="G320">
            <v>0</v>
          </cell>
        </row>
        <row r="321">
          <cell r="A321" t="str">
            <v>31-2001480</v>
          </cell>
          <cell r="B321" t="str">
            <v>TERMINAL END PLATE (WT2.5/4/6/10)</v>
          </cell>
          <cell r="E321">
            <v>0</v>
          </cell>
          <cell r="G321">
            <v>0</v>
          </cell>
        </row>
        <row r="322">
          <cell r="A322" t="str">
            <v>31-2001493</v>
          </cell>
          <cell r="B322" t="str">
            <v>Ferrule, Pin Terminal, Uninsulated, 10mm</v>
          </cell>
          <cell r="E322">
            <v>4.3251200000000001</v>
          </cell>
          <cell r="G322">
            <v>22</v>
          </cell>
        </row>
        <row r="323">
          <cell r="A323" t="str">
            <v>31-2001494</v>
          </cell>
          <cell r="B323" t="str">
            <v>Ferrule, Pin Terminal, Uninsulated, 25mm</v>
          </cell>
          <cell r="E323">
            <v>9.8699999999999992</v>
          </cell>
          <cell r="G323">
            <v>1449</v>
          </cell>
        </row>
        <row r="324">
          <cell r="A324" t="str">
            <v>31-2001512</v>
          </cell>
          <cell r="B324" t="str">
            <v>Ferrule, Spade Terminal, 6x4, Insulated</v>
          </cell>
          <cell r="E324">
            <v>0.77858000000000005</v>
          </cell>
          <cell r="G324">
            <v>303</v>
          </cell>
        </row>
        <row r="325">
          <cell r="A325" t="str">
            <v>31-2001515</v>
          </cell>
          <cell r="B325" t="str">
            <v>Ferrule, Blade Terminal, uninsulated, 6mm</v>
          </cell>
          <cell r="E325">
            <v>2.5297000000000001</v>
          </cell>
          <cell r="G325">
            <v>638</v>
          </cell>
        </row>
        <row r="326">
          <cell r="A326" t="str">
            <v>31-2001518</v>
          </cell>
          <cell r="B326" t="str">
            <v>Ferrule,bootlace, Insulated, 1x12</v>
          </cell>
          <cell r="E326">
            <v>0</v>
          </cell>
          <cell r="G326">
            <v>0</v>
          </cell>
        </row>
        <row r="327">
          <cell r="A327" t="str">
            <v>31-2001521</v>
          </cell>
          <cell r="B327" t="str">
            <v>RJ45 Boot (Red)</v>
          </cell>
          <cell r="E327">
            <v>1.1107199999999999</v>
          </cell>
          <cell r="G327">
            <v>241</v>
          </cell>
        </row>
        <row r="328">
          <cell r="A328" t="str">
            <v>31-2001526</v>
          </cell>
          <cell r="B328" t="str">
            <v xml:space="preserve">Ferrule, Spade Terminal, 1x5, Insulated </v>
          </cell>
          <cell r="E328">
            <v>0.41760999999999998</v>
          </cell>
          <cell r="G328">
            <v>5472</v>
          </cell>
        </row>
        <row r="329">
          <cell r="A329" t="str">
            <v>31-2001529</v>
          </cell>
          <cell r="B329" t="str">
            <v>Fuse Holder, In-Line, 5mmx20</v>
          </cell>
          <cell r="E329">
            <v>9.6999999999999993</v>
          </cell>
          <cell r="G329">
            <v>5</v>
          </cell>
        </row>
        <row r="330">
          <cell r="A330" t="str">
            <v>31-2001588</v>
          </cell>
          <cell r="B330" t="str">
            <v>Ferrule, Blade Terminal, Uninsulated, 6mm2, 10mm Blade Length</v>
          </cell>
          <cell r="E330">
            <v>2.0511599999999999</v>
          </cell>
          <cell r="G330">
            <v>838</v>
          </cell>
        </row>
        <row r="331">
          <cell r="A331" t="str">
            <v>31-2001602</v>
          </cell>
          <cell r="B331" t="str">
            <v>Ferrule, Pin Terminal, Uninsulated, 4-6mm</v>
          </cell>
          <cell r="E331">
            <v>2.8952300000000002</v>
          </cell>
          <cell r="G331">
            <v>312</v>
          </cell>
        </row>
        <row r="332">
          <cell r="A332" t="str">
            <v>31-2001638</v>
          </cell>
          <cell r="B332" t="str">
            <v>4mm Rail Mount Screw Terminal</v>
          </cell>
          <cell r="E332">
            <v>5.3733700000000004</v>
          </cell>
          <cell r="G332">
            <v>157</v>
          </cell>
        </row>
        <row r="333">
          <cell r="A333" t="str">
            <v>31-2001638-X</v>
          </cell>
          <cell r="B333" t="str">
            <v>Terminal, Rail Mount, 4mm2, Grey</v>
          </cell>
          <cell r="E333">
            <v>0</v>
          </cell>
          <cell r="G333">
            <v>0</v>
          </cell>
        </row>
        <row r="334">
          <cell r="A334" t="str">
            <v>31-2001639</v>
          </cell>
          <cell r="B334" t="str">
            <v>Terminal, End Plate, 2.5-10mm2, Grey</v>
          </cell>
          <cell r="E334">
            <v>2.59</v>
          </cell>
          <cell r="G334">
            <v>46</v>
          </cell>
        </row>
        <row r="335">
          <cell r="A335" t="str">
            <v>31-2001640</v>
          </cell>
          <cell r="B335" t="str">
            <v>DIN 35 Terminal End Stop</v>
          </cell>
          <cell r="E335">
            <v>3.18</v>
          </cell>
          <cell r="G335">
            <v>0</v>
          </cell>
        </row>
        <row r="336">
          <cell r="A336" t="str">
            <v>31-2001644</v>
          </cell>
          <cell r="B336" t="str">
            <v>4mm Rail Mount Earth Terminal</v>
          </cell>
          <cell r="E336">
            <v>24.2</v>
          </cell>
          <cell r="G336">
            <v>74</v>
          </cell>
        </row>
        <row r="337">
          <cell r="A337" t="str">
            <v>31-2001648</v>
          </cell>
          <cell r="B337" t="str">
            <v>Terminal, Rail Mount, 1.5mm2, Grey</v>
          </cell>
          <cell r="E337">
            <v>9.4600000000000009</v>
          </cell>
          <cell r="G337">
            <v>12</v>
          </cell>
        </row>
        <row r="338">
          <cell r="A338" t="str">
            <v>31-2001649</v>
          </cell>
          <cell r="B338" t="str">
            <v>Terminal, End Stop, Screwless</v>
          </cell>
          <cell r="E338">
            <v>3.14</v>
          </cell>
          <cell r="G338">
            <v>94</v>
          </cell>
        </row>
        <row r="339">
          <cell r="A339" t="str">
            <v>31-2001650</v>
          </cell>
          <cell r="B339" t="str">
            <v>Terminal, End plate, DinRail Mnt</v>
          </cell>
          <cell r="E339">
            <v>4.4000000000000004</v>
          </cell>
          <cell r="G339">
            <v>12</v>
          </cell>
        </row>
        <row r="340">
          <cell r="A340" t="str">
            <v>31-2001692</v>
          </cell>
          <cell r="B340" t="str">
            <v>Ferrule, Bootlace, Insulated, 1x8, Twin</v>
          </cell>
          <cell r="E340">
            <v>0.31897999999999999</v>
          </cell>
          <cell r="G340">
            <v>1476</v>
          </cell>
        </row>
        <row r="341">
          <cell r="A341" t="str">
            <v>31-2001813</v>
          </cell>
          <cell r="B341" t="str">
            <v>31-2001813_2x1mm2 RED INS FERRULE (100)</v>
          </cell>
          <cell r="E341">
            <v>31.03</v>
          </cell>
          <cell r="G341">
            <v>0</v>
          </cell>
        </row>
        <row r="342">
          <cell r="A342" t="str">
            <v>31-2001860</v>
          </cell>
          <cell r="B342" t="str">
            <v>Gland, Rotary Cone, 39mm</v>
          </cell>
          <cell r="E342">
            <v>200.68</v>
          </cell>
          <cell r="G342">
            <v>40</v>
          </cell>
        </row>
        <row r="343">
          <cell r="A343" t="str">
            <v>31-2001861</v>
          </cell>
          <cell r="B343" t="str">
            <v>Gland, Shroud, PVC No4</v>
          </cell>
          <cell r="E343">
            <v>42.99</v>
          </cell>
          <cell r="G343">
            <v>40</v>
          </cell>
        </row>
        <row r="344">
          <cell r="A344" t="str">
            <v>31-2001862</v>
          </cell>
          <cell r="B344" t="str">
            <v>Gland, Earth Tag, No4</v>
          </cell>
          <cell r="E344">
            <v>12.66</v>
          </cell>
          <cell r="G344">
            <v>40</v>
          </cell>
        </row>
        <row r="345">
          <cell r="A345" t="str">
            <v>31-2001912</v>
          </cell>
          <cell r="B345" t="str">
            <v>Lug, Ring, 95x12, NPC</v>
          </cell>
          <cell r="E345">
            <v>25.19</v>
          </cell>
          <cell r="G345">
            <v>150</v>
          </cell>
        </row>
        <row r="346">
          <cell r="A346" t="str">
            <v>31-2001913</v>
          </cell>
          <cell r="B346" t="str">
            <v>Lug, Ring, 120x12, NPC</v>
          </cell>
          <cell r="E346">
            <v>34.369999999999997</v>
          </cell>
          <cell r="G346">
            <v>108</v>
          </cell>
        </row>
        <row r="347">
          <cell r="A347" t="str">
            <v>31-2001949</v>
          </cell>
          <cell r="B347" t="str">
            <v>Conn, 2.5mm Pitch, 4P, Male, In-Line, White</v>
          </cell>
          <cell r="E347">
            <v>0</v>
          </cell>
          <cell r="G347">
            <v>0</v>
          </cell>
        </row>
        <row r="348">
          <cell r="A348" t="str">
            <v>31-2001951</v>
          </cell>
          <cell r="B348" t="str">
            <v>Crimp, Socket Contact, 22-28 AWG, Male</v>
          </cell>
          <cell r="E348">
            <v>0</v>
          </cell>
          <cell r="G348">
            <v>0</v>
          </cell>
        </row>
        <row r="349">
          <cell r="A349" t="str">
            <v>31-2001980</v>
          </cell>
          <cell r="B349" t="str">
            <v>Ferrule,bootlace, Insulated, 0.5x12</v>
          </cell>
          <cell r="E349">
            <v>0</v>
          </cell>
          <cell r="G349">
            <v>0</v>
          </cell>
        </row>
        <row r="350">
          <cell r="A350" t="str">
            <v>31-2002002</v>
          </cell>
          <cell r="B350" t="str">
            <v>Conn, 3.81mm Pitch, 2P, Female, In-line, Terminal Block Socket</v>
          </cell>
          <cell r="E350">
            <v>6.5714300000000003</v>
          </cell>
          <cell r="G350">
            <v>2</v>
          </cell>
        </row>
        <row r="351">
          <cell r="A351" t="str">
            <v>31-2002003</v>
          </cell>
          <cell r="B351" t="str">
            <v>Conn, 3.81mm Pitch, 3P, Female, In-line, Terminal Block Socket</v>
          </cell>
          <cell r="E351">
            <v>9.1428600000000007</v>
          </cell>
          <cell r="G351">
            <v>2</v>
          </cell>
        </row>
        <row r="352">
          <cell r="A352" t="str">
            <v>31-2002004</v>
          </cell>
          <cell r="B352" t="str">
            <v>Conn, 3.81mm Pitch, 5P, Female, In-line, Terminal Block Socket</v>
          </cell>
          <cell r="E352">
            <v>10.571429999999999</v>
          </cell>
          <cell r="G352">
            <v>2</v>
          </cell>
        </row>
        <row r="353">
          <cell r="A353" t="str">
            <v>31-2002005</v>
          </cell>
          <cell r="B353" t="str">
            <v>Conn, 3.81mm Pitch, 6P, Female, In-line, Terminal Block Socket</v>
          </cell>
          <cell r="E353">
            <v>11.21429</v>
          </cell>
          <cell r="G353">
            <v>2</v>
          </cell>
        </row>
        <row r="354">
          <cell r="A354" t="str">
            <v>31-2002006</v>
          </cell>
          <cell r="B354" t="str">
            <v>Conn, 3.81mm Pitch, 7P, Female, In-line, Terminal Block Socket</v>
          </cell>
          <cell r="E354">
            <v>9.8571399999999993</v>
          </cell>
          <cell r="G354">
            <v>2</v>
          </cell>
        </row>
        <row r="355">
          <cell r="A355" t="str">
            <v>31-2002016</v>
          </cell>
          <cell r="B355" t="str">
            <v>Connector, Barrel Jack, DC socket In-Line, 2.1x9mm</v>
          </cell>
          <cell r="E355">
            <v>0</v>
          </cell>
          <cell r="G355">
            <v>0</v>
          </cell>
        </row>
        <row r="356">
          <cell r="A356" t="str">
            <v>31-2002018</v>
          </cell>
          <cell r="B356" t="str">
            <v>Connector, Barrel Jack, DC socket In-Line, 2.1x9mm</v>
          </cell>
          <cell r="E356">
            <v>0</v>
          </cell>
          <cell r="G356">
            <v>0</v>
          </cell>
        </row>
        <row r="357">
          <cell r="A357" t="str">
            <v>31-2002036</v>
          </cell>
          <cell r="B357" t="str">
            <v xml:space="preserve">Ferrule, Insulated,  Fork, 1.5mm, Dia 3mm </v>
          </cell>
          <cell r="E357">
            <v>0.51149999999999995</v>
          </cell>
          <cell r="G357">
            <v>3475</v>
          </cell>
        </row>
        <row r="358">
          <cell r="A358" t="str">
            <v>31-2002037</v>
          </cell>
          <cell r="B358" t="str">
            <v>Ferrule, Insulated, Fork, 2.5mm2, Dia 4mm</v>
          </cell>
          <cell r="E358">
            <v>0.59399999999999997</v>
          </cell>
          <cell r="G358">
            <v>500</v>
          </cell>
        </row>
        <row r="359">
          <cell r="A359" t="str">
            <v>31-2002041</v>
          </cell>
          <cell r="B359" t="str">
            <v>Ferrule, Female Disconnect, Insulated, 1.5x6.4</v>
          </cell>
          <cell r="E359">
            <v>0.99924000000000002</v>
          </cell>
          <cell r="G359">
            <v>1985</v>
          </cell>
        </row>
        <row r="360">
          <cell r="A360" t="str">
            <v>31-2002042</v>
          </cell>
          <cell r="B360" t="str">
            <v>Ferrule, Female Disconnect, Insulated, 1.5x4.8</v>
          </cell>
          <cell r="E360">
            <v>0</v>
          </cell>
          <cell r="G360">
            <v>0</v>
          </cell>
        </row>
        <row r="361">
          <cell r="A361" t="str">
            <v>31-2002043</v>
          </cell>
          <cell r="B361" t="str">
            <v>Lug, Ring, Insulated, 2.5x10</v>
          </cell>
          <cell r="E361">
            <v>2.4550000000000001</v>
          </cell>
          <cell r="G361">
            <v>590</v>
          </cell>
        </row>
        <row r="362">
          <cell r="A362" t="str">
            <v>31-2002051</v>
          </cell>
          <cell r="B362" t="str">
            <v>Lug, Ring, 50x6, NPC</v>
          </cell>
          <cell r="E362">
            <v>9</v>
          </cell>
          <cell r="G362">
            <v>540</v>
          </cell>
        </row>
        <row r="363">
          <cell r="A363" t="str">
            <v>31-2002075</v>
          </cell>
          <cell r="B363" t="str">
            <v>RJ45 Boot, Blue</v>
          </cell>
          <cell r="E363">
            <v>0.83</v>
          </cell>
          <cell r="G363">
            <v>100</v>
          </cell>
        </row>
        <row r="364">
          <cell r="A364" t="str">
            <v>31-2002077</v>
          </cell>
          <cell r="B364" t="str">
            <v xml:space="preserve">Battery Terminal, Jumper, Welded </v>
          </cell>
          <cell r="E364">
            <v>0</v>
          </cell>
          <cell r="G364">
            <v>0</v>
          </cell>
        </row>
        <row r="365">
          <cell r="A365" t="str">
            <v>31-2002078</v>
          </cell>
          <cell r="B365" t="str">
            <v>Battery Terminal, Busbar, Welded</v>
          </cell>
          <cell r="E365">
            <v>0</v>
          </cell>
          <cell r="G365">
            <v>0</v>
          </cell>
        </row>
        <row r="366">
          <cell r="A366" t="str">
            <v>31-2303004</v>
          </cell>
          <cell r="B366" t="str">
            <v>LUG, RING, 2,5x4, NPC</v>
          </cell>
          <cell r="E366">
            <v>0.55000000000000004</v>
          </cell>
          <cell r="G366">
            <v>0</v>
          </cell>
        </row>
        <row r="367">
          <cell r="A367" t="str">
            <v>31-2390005</v>
          </cell>
          <cell r="B367" t="str">
            <v>SOLAR CONNECTOR F</v>
          </cell>
          <cell r="E367">
            <v>7.4805700000000002</v>
          </cell>
          <cell r="G367">
            <v>0</v>
          </cell>
        </row>
        <row r="368">
          <cell r="A368" t="str">
            <v>31-2390029</v>
          </cell>
          <cell r="B368" t="str">
            <v>SWITCH-3NO</v>
          </cell>
          <cell r="E368">
            <v>17</v>
          </cell>
          <cell r="G368">
            <v>0</v>
          </cell>
        </row>
        <row r="369">
          <cell r="A369" t="str">
            <v>32-2000047</v>
          </cell>
          <cell r="B369" t="str">
            <v>PERMOPOWER, 50 MM2, RED</v>
          </cell>
          <cell r="E369">
            <v>125.80025000000001</v>
          </cell>
          <cell r="G369">
            <v>39.5</v>
          </cell>
        </row>
        <row r="370">
          <cell r="A370" t="str">
            <v>32-2000047-X</v>
          </cell>
          <cell r="B370" t="str">
            <v>PERMOPOWER, 50 MM2, RED</v>
          </cell>
          <cell r="E370">
            <v>120</v>
          </cell>
          <cell r="G370">
            <v>0</v>
          </cell>
        </row>
        <row r="371">
          <cell r="A371" t="str">
            <v>32-2000271</v>
          </cell>
          <cell r="B371" t="str">
            <v>CABLE, CABTYRE, 0.75MM2, 3CORE</v>
          </cell>
          <cell r="E371">
            <v>8.6930700000000005</v>
          </cell>
          <cell r="G371">
            <v>100</v>
          </cell>
        </row>
        <row r="372">
          <cell r="A372" t="str">
            <v>32-2000271-X</v>
          </cell>
          <cell r="B372" t="str">
            <v>CABLE, CABTYRE, 0.75MM2, 3CORE</v>
          </cell>
          <cell r="E372">
            <v>0</v>
          </cell>
          <cell r="G372">
            <v>0</v>
          </cell>
        </row>
        <row r="373">
          <cell r="A373" t="str">
            <v>32-2000272</v>
          </cell>
          <cell r="B373" t="str">
            <v>CABLE, TWISTED WIRE, 2 PAIR, 0.15 MM2</v>
          </cell>
          <cell r="E373">
            <v>0</v>
          </cell>
          <cell r="G373">
            <v>0</v>
          </cell>
        </row>
        <row r="374">
          <cell r="A374" t="str">
            <v>32-2000272-X</v>
          </cell>
          <cell r="B374" t="str">
            <v>CABLE, TWISTED WIRE, 2 PAIR, 0.15 MM2</v>
          </cell>
          <cell r="E374">
            <v>0</v>
          </cell>
          <cell r="G374">
            <v>0</v>
          </cell>
        </row>
        <row r="375">
          <cell r="A375" t="str">
            <v>32-2000273</v>
          </cell>
          <cell r="B375" t="str">
            <v>CABLE, TWISTED WIRE, 1 PAIR, 0.15 MM²</v>
          </cell>
          <cell r="E375">
            <v>0</v>
          </cell>
          <cell r="G375">
            <v>0</v>
          </cell>
        </row>
        <row r="376">
          <cell r="A376" t="str">
            <v>32-2000297</v>
          </cell>
          <cell r="B376" t="str">
            <v>CABLE, PERMOPOWER, 16 MM2, RED</v>
          </cell>
          <cell r="E376">
            <v>42.817799999999998</v>
          </cell>
          <cell r="G376">
            <v>1532.9</v>
          </cell>
        </row>
        <row r="377">
          <cell r="A377" t="str">
            <v>32-2000297-X</v>
          </cell>
          <cell r="B377" t="str">
            <v>CABLE, PERMOPOWER, 16 MM2, RED</v>
          </cell>
          <cell r="E377">
            <v>39</v>
          </cell>
          <cell r="G377">
            <v>0</v>
          </cell>
        </row>
        <row r="378">
          <cell r="A378" t="str">
            <v>32-2000298</v>
          </cell>
          <cell r="B378" t="str">
            <v>CABLE, PERMOPOWER, 16 MM2, BLACK</v>
          </cell>
          <cell r="E378">
            <v>42.958930000000002</v>
          </cell>
          <cell r="G378">
            <v>11647</v>
          </cell>
        </row>
        <row r="379">
          <cell r="A379" t="str">
            <v>32-2000298-X</v>
          </cell>
          <cell r="B379" t="str">
            <v>CABLE, PERMOPOWER, 16 MM2, BLACK</v>
          </cell>
          <cell r="E379">
            <v>40.892180000000003</v>
          </cell>
          <cell r="G379">
            <v>300</v>
          </cell>
        </row>
        <row r="380">
          <cell r="A380" t="str">
            <v>32-2000299</v>
          </cell>
          <cell r="B380" t="str">
            <v>CABLE, PERMOPOWER, 35 MM2, RED</v>
          </cell>
          <cell r="E380">
            <v>93.585369999999998</v>
          </cell>
          <cell r="G380">
            <v>500</v>
          </cell>
        </row>
        <row r="381">
          <cell r="A381" t="str">
            <v>32-2000299-X</v>
          </cell>
          <cell r="B381" t="str">
            <v>CABLE, PERMOPOWER, 35 MM2, RED</v>
          </cell>
          <cell r="E381">
            <v>82</v>
          </cell>
          <cell r="G381">
            <v>0</v>
          </cell>
        </row>
        <row r="382">
          <cell r="A382" t="str">
            <v>32-2000300</v>
          </cell>
          <cell r="B382" t="str">
            <v>CABLE, PERMOPOWER, 35 MM2, BLACK</v>
          </cell>
          <cell r="E382">
            <v>94.320160000000001</v>
          </cell>
          <cell r="G382">
            <v>500</v>
          </cell>
        </row>
        <row r="383">
          <cell r="A383" t="str">
            <v>32-2000300-X</v>
          </cell>
          <cell r="B383" t="str">
            <v>PERMOPOWER, 35 MM2, BLACK</v>
          </cell>
          <cell r="E383">
            <v>82</v>
          </cell>
          <cell r="G383">
            <v>0</v>
          </cell>
        </row>
        <row r="384">
          <cell r="A384" t="str">
            <v>32-2000301</v>
          </cell>
          <cell r="B384" t="str">
            <v>CABLE, PERMOPOWER, 50 MM2, BLACK</v>
          </cell>
          <cell r="E384">
            <v>127.17574999999999</v>
          </cell>
          <cell r="G384">
            <v>336.99964</v>
          </cell>
        </row>
        <row r="385">
          <cell r="A385" t="str">
            <v>32-2000301-X</v>
          </cell>
          <cell r="B385" t="str">
            <v>CABLE, PERMOPOWER, 50 MM2, BLACK</v>
          </cell>
          <cell r="E385">
            <v>120</v>
          </cell>
          <cell r="G385">
            <v>0</v>
          </cell>
        </row>
        <row r="386">
          <cell r="A386" t="str">
            <v>32-2000302</v>
          </cell>
          <cell r="B386" t="str">
            <v>CABLE, PERMOPOWER, 70MM2, RED</v>
          </cell>
          <cell r="E386">
            <v>170.4</v>
          </cell>
          <cell r="G386">
            <v>468.84</v>
          </cell>
        </row>
        <row r="387">
          <cell r="A387" t="str">
            <v>32-2000302-X</v>
          </cell>
          <cell r="B387" t="str">
            <v>CABLE, PERMOPOWER, 70MM2, RED</v>
          </cell>
          <cell r="E387">
            <v>164</v>
          </cell>
          <cell r="G387">
            <v>0</v>
          </cell>
        </row>
        <row r="388">
          <cell r="A388" t="str">
            <v>32-2000303</v>
          </cell>
          <cell r="B388" t="str">
            <v>CABLE, PERMOPOWER, 70MM2, BLACK</v>
          </cell>
          <cell r="E388">
            <v>170.4</v>
          </cell>
          <cell r="G388">
            <v>499</v>
          </cell>
        </row>
        <row r="389">
          <cell r="A389" t="str">
            <v>32-2000303-X</v>
          </cell>
          <cell r="B389" t="str">
            <v>CABLE, PERMOPOWER, 70MM2, BLACK</v>
          </cell>
          <cell r="E389">
            <v>164</v>
          </cell>
          <cell r="G389">
            <v>0</v>
          </cell>
        </row>
        <row r="390">
          <cell r="A390" t="str">
            <v>32-2000320</v>
          </cell>
          <cell r="B390" t="str">
            <v>HOUSEWIRE, 2.5 MM2, BLACK</v>
          </cell>
          <cell r="E390">
            <v>5.5562699999999996</v>
          </cell>
          <cell r="G390">
            <v>1564</v>
          </cell>
        </row>
        <row r="391">
          <cell r="A391" t="str">
            <v>32-2000320-X</v>
          </cell>
          <cell r="B391" t="str">
            <v>HOUSEWIRE, 2.5 MM2, BLACK</v>
          </cell>
          <cell r="E391">
            <v>5.59</v>
          </cell>
          <cell r="G391">
            <v>0</v>
          </cell>
        </row>
        <row r="392">
          <cell r="A392" t="str">
            <v>32-2000321</v>
          </cell>
          <cell r="B392" t="str">
            <v>HOUSEWIRE, 2.5 MM2, RED</v>
          </cell>
          <cell r="E392">
            <v>5.5628399999999996</v>
          </cell>
          <cell r="G392">
            <v>2116</v>
          </cell>
        </row>
        <row r="393">
          <cell r="A393" t="str">
            <v>32-2000321-X</v>
          </cell>
          <cell r="B393" t="str">
            <v>HOUSEWIRE, 2.5 MM2, RED</v>
          </cell>
          <cell r="E393">
            <v>5.59</v>
          </cell>
          <cell r="G393">
            <v>0</v>
          </cell>
        </row>
        <row r="394">
          <cell r="A394" t="str">
            <v>32-2000322</v>
          </cell>
          <cell r="B394" t="str">
            <v>HOUSEWIRE, 4.0 MM2, BLACK</v>
          </cell>
          <cell r="E394">
            <v>8.5299999999999994</v>
          </cell>
          <cell r="G394">
            <v>1682.5</v>
          </cell>
        </row>
        <row r="395">
          <cell r="A395" t="str">
            <v>32-2000323</v>
          </cell>
          <cell r="B395" t="str">
            <v>HOUSEWIRE, 4.0 MM2, RED</v>
          </cell>
          <cell r="E395">
            <v>8.6392299999999995</v>
          </cell>
          <cell r="G395">
            <v>2668.5</v>
          </cell>
        </row>
        <row r="396">
          <cell r="A396" t="str">
            <v>32-2000323-X</v>
          </cell>
          <cell r="B396" t="str">
            <v>HOUSEWIRE, 4.0 MM2, RED</v>
          </cell>
          <cell r="E396">
            <v>10.088699999999999</v>
          </cell>
          <cell r="G396">
            <v>0</v>
          </cell>
        </row>
        <row r="397">
          <cell r="A397" t="str">
            <v>32-2000324</v>
          </cell>
          <cell r="B397" t="str">
            <v>HOUSEWIRE, 10 MM2, BLACK</v>
          </cell>
          <cell r="E397">
            <v>22.96452</v>
          </cell>
          <cell r="G397">
            <v>321.98937000000001</v>
          </cell>
        </row>
        <row r="398">
          <cell r="A398" t="str">
            <v>32-2000324-X</v>
          </cell>
          <cell r="B398" t="str">
            <v>HOUSEWIRE, 10 MM2, BLACK</v>
          </cell>
          <cell r="E398">
            <v>24.162430000000001</v>
          </cell>
          <cell r="G398">
            <v>0</v>
          </cell>
        </row>
        <row r="399">
          <cell r="A399" t="str">
            <v>32-2000325</v>
          </cell>
          <cell r="B399" t="str">
            <v>HOUSEWIRE, 10 MM2, RED</v>
          </cell>
          <cell r="E399">
            <v>23.131450000000001</v>
          </cell>
          <cell r="G399">
            <v>500</v>
          </cell>
        </row>
        <row r="400">
          <cell r="A400" t="str">
            <v>32-2000325-X</v>
          </cell>
          <cell r="B400" t="str">
            <v>HOUSEWIRE, 10 MM2, RED</v>
          </cell>
          <cell r="E400">
            <v>24.162140000000001</v>
          </cell>
          <cell r="G400">
            <v>0</v>
          </cell>
        </row>
        <row r="401">
          <cell r="A401" t="str">
            <v>32-2000333</v>
          </cell>
          <cell r="B401" t="str">
            <v>SINGLEFLEX, 10 MM2, BLACK</v>
          </cell>
          <cell r="E401">
            <v>25.772279999999999</v>
          </cell>
          <cell r="G401">
            <v>339</v>
          </cell>
        </row>
        <row r="402">
          <cell r="A402" t="str">
            <v>32-2000333-X</v>
          </cell>
          <cell r="B402" t="str">
            <v>SINGLEFLEX, 10 MM2, BLACK</v>
          </cell>
          <cell r="E402">
            <v>0</v>
          </cell>
          <cell r="G402">
            <v>0</v>
          </cell>
        </row>
        <row r="403">
          <cell r="A403" t="str">
            <v>32-2000334</v>
          </cell>
          <cell r="B403" t="str">
            <v>SINGLEFLEX, 10 MM2, RED</v>
          </cell>
          <cell r="E403">
            <v>25</v>
          </cell>
          <cell r="G403">
            <v>200</v>
          </cell>
        </row>
        <row r="404">
          <cell r="A404" t="str">
            <v>32-2000334-X</v>
          </cell>
          <cell r="B404" t="str">
            <v>SINGLEFLEX, 10 MM2, RED</v>
          </cell>
          <cell r="E404">
            <v>0</v>
          </cell>
          <cell r="G404">
            <v>0</v>
          </cell>
        </row>
        <row r="405">
          <cell r="A405" t="str">
            <v>32-2000338</v>
          </cell>
          <cell r="B405" t="str">
            <v>CABLE, CABTYRE, 4.0MM2, 3 CORE, BLACK</v>
          </cell>
          <cell r="E405">
            <v>31.05</v>
          </cell>
          <cell r="G405">
            <v>3500</v>
          </cell>
        </row>
        <row r="406">
          <cell r="A406" t="str">
            <v>32-2000348</v>
          </cell>
          <cell r="B406" t="str">
            <v>CABLE, SINGLEFLEX, 2,5MM2, EARTH</v>
          </cell>
          <cell r="E406">
            <v>6.0210800000000004</v>
          </cell>
          <cell r="G406">
            <v>2262</v>
          </cell>
        </row>
        <row r="407">
          <cell r="A407" t="str">
            <v>32-2000349</v>
          </cell>
          <cell r="B407" t="str">
            <v>CABLE, SINGLEFLEX, 6MM2, EARTH</v>
          </cell>
          <cell r="E407">
            <v>12.8413</v>
          </cell>
          <cell r="G407">
            <v>26022.497139999999</v>
          </cell>
        </row>
        <row r="408">
          <cell r="A408" t="str">
            <v>32-2000349-X</v>
          </cell>
          <cell r="B408" t="str">
            <v>CABLE, SINGLEFLEX, 6MM2, EARTH</v>
          </cell>
          <cell r="E408">
            <v>12.600239999999999</v>
          </cell>
          <cell r="G408">
            <v>1513</v>
          </cell>
        </row>
        <row r="409">
          <cell r="A409" t="str">
            <v>32-2000374</v>
          </cell>
          <cell r="B409" t="str">
            <v>CABLE, CAT5, 4 PAIR</v>
          </cell>
          <cell r="E409">
            <v>6.9816399999999996</v>
          </cell>
          <cell r="G409">
            <v>500</v>
          </cell>
        </row>
        <row r="410">
          <cell r="A410" t="str">
            <v>32-2000374-X</v>
          </cell>
          <cell r="B410" t="str">
            <v>Cable, CAT5, 4 Pair</v>
          </cell>
          <cell r="E410">
            <v>7.0260100000000003</v>
          </cell>
          <cell r="G410">
            <v>14</v>
          </cell>
        </row>
        <row r="411">
          <cell r="A411" t="str">
            <v>32-2000378</v>
          </cell>
          <cell r="B411" t="str">
            <v>SWITCH, 2P, 2W, NO</v>
          </cell>
          <cell r="E411">
            <v>32.376019999999997</v>
          </cell>
          <cell r="G411">
            <v>0</v>
          </cell>
        </row>
        <row r="412">
          <cell r="A412" t="str">
            <v>32-2000418</v>
          </cell>
          <cell r="B412" t="str">
            <v>CABLE, 1 PAIR TWISTED WIRE, 0.22MM2</v>
          </cell>
          <cell r="E412">
            <v>3.2001400000000002</v>
          </cell>
          <cell r="G412">
            <v>2264</v>
          </cell>
        </row>
        <row r="413">
          <cell r="A413" t="str">
            <v>32-2000419</v>
          </cell>
          <cell r="B413" t="str">
            <v>CABLE, 2 PAIR, TWISTED WIRE, 0.22MM2</v>
          </cell>
          <cell r="E413">
            <v>9.0805699999999998</v>
          </cell>
          <cell r="G413">
            <v>300</v>
          </cell>
        </row>
        <row r="414">
          <cell r="A414" t="str">
            <v>32-2000419-1</v>
          </cell>
          <cell r="B414" t="str">
            <v>CABLE - 2 PAIR TWISTED WIRE, 0.22 MM² (200MM)</v>
          </cell>
          <cell r="E414">
            <v>0</v>
          </cell>
          <cell r="G414">
            <v>0</v>
          </cell>
        </row>
        <row r="415">
          <cell r="A415" t="str">
            <v>32-2000430</v>
          </cell>
          <cell r="B415" t="str">
            <v>CABLE, PERMOPOWER, 50MM2, RED</v>
          </cell>
          <cell r="E415">
            <v>100.76381000000001</v>
          </cell>
          <cell r="G415">
            <v>1184.8</v>
          </cell>
        </row>
        <row r="416">
          <cell r="A416" t="str">
            <v>32-2000442</v>
          </cell>
          <cell r="B416" t="str">
            <v>2 POSITION CABLE ASSEMBLY RECTANGULAR SOCKET TO SOCKET 0.164' (50.00MM, 1.97")</v>
          </cell>
          <cell r="E416">
            <v>0</v>
          </cell>
          <cell r="G416">
            <v>0</v>
          </cell>
        </row>
        <row r="417">
          <cell r="A417" t="str">
            <v>32-2000443</v>
          </cell>
          <cell r="B417" t="str">
            <v>50 POSITION FFC, FPC CABLE 0.020" (0.50MM) 2.000" (50.80MM)</v>
          </cell>
          <cell r="E417">
            <v>0</v>
          </cell>
          <cell r="G417">
            <v>0</v>
          </cell>
        </row>
        <row r="418">
          <cell r="A418" t="str">
            <v>32-2000510</v>
          </cell>
          <cell r="B418" t="str">
            <v xml:space="preserve">Cable, Single Flex, 0.5mm2, Red </v>
          </cell>
          <cell r="E418">
            <v>1.64</v>
          </cell>
          <cell r="G418">
            <v>1130</v>
          </cell>
        </row>
        <row r="419">
          <cell r="A419" t="str">
            <v>32-2000511</v>
          </cell>
          <cell r="B419" t="str">
            <v>Cable, Single Flex, 0.5mm2, Black</v>
          </cell>
          <cell r="E419">
            <v>1.52538</v>
          </cell>
          <cell r="G419">
            <v>950</v>
          </cell>
        </row>
        <row r="420">
          <cell r="A420" t="str">
            <v>32-2000512</v>
          </cell>
          <cell r="B420" t="str">
            <v>CABLE, SINGLE FLEX, 1MM2, RED</v>
          </cell>
          <cell r="E420">
            <v>3.0799799999999999</v>
          </cell>
          <cell r="G420">
            <v>111.21</v>
          </cell>
        </row>
        <row r="421">
          <cell r="A421" t="str">
            <v>32-2000512-X</v>
          </cell>
          <cell r="B421" t="str">
            <v>CABLE, SINGLE FLEX, 1MM2, RED</v>
          </cell>
          <cell r="E421">
            <v>2.1000100000000002</v>
          </cell>
          <cell r="G421">
            <v>0</v>
          </cell>
        </row>
        <row r="422">
          <cell r="A422" t="str">
            <v>32-2000526</v>
          </cell>
          <cell r="B422" t="str">
            <v>CABLE, SINGLE FLEX, 1MM2,BLACK</v>
          </cell>
          <cell r="E422">
            <v>2.6465200000000002</v>
          </cell>
          <cell r="G422">
            <v>0</v>
          </cell>
        </row>
        <row r="423">
          <cell r="A423" t="str">
            <v>32-2000526-X</v>
          </cell>
          <cell r="B423" t="str">
            <v>CABLE, SINGLEFLEX, 1MM2,BLACK</v>
          </cell>
          <cell r="E423">
            <v>2.1</v>
          </cell>
          <cell r="G423">
            <v>0</v>
          </cell>
        </row>
        <row r="424">
          <cell r="A424" t="str">
            <v>32-2000576</v>
          </cell>
          <cell r="B424" t="str">
            <v>SOLAR FLEX SOLAR PV1-F6.0MM2 RED</v>
          </cell>
          <cell r="E424">
            <v>16.030349999999999</v>
          </cell>
          <cell r="G424">
            <v>158999</v>
          </cell>
        </row>
        <row r="425">
          <cell r="A425" t="str">
            <v>32-2000576-X</v>
          </cell>
          <cell r="B425" t="str">
            <v>SOLAR FLEX SOLAR PV1-F6.0MM2 RED</v>
          </cell>
          <cell r="E425">
            <v>15.898960000000001</v>
          </cell>
          <cell r="G425">
            <v>1516</v>
          </cell>
        </row>
        <row r="426">
          <cell r="A426" t="str">
            <v>32-2000577</v>
          </cell>
          <cell r="B426" t="str">
            <v>SOLAR FLEX SOLAR PV1-F6.0MM2 BLACK</v>
          </cell>
          <cell r="E426">
            <v>16.855360000000001</v>
          </cell>
          <cell r="G426">
            <v>150029</v>
          </cell>
        </row>
        <row r="427">
          <cell r="A427" t="str">
            <v>32-2000577-X</v>
          </cell>
          <cell r="B427" t="str">
            <v>SOLAR FLEX SOLAR PV1-F6.0MM2 BLACK</v>
          </cell>
          <cell r="E427">
            <v>16.385359999999999</v>
          </cell>
          <cell r="G427">
            <v>2486</v>
          </cell>
        </row>
        <row r="428">
          <cell r="A428" t="str">
            <v>32-2000578</v>
          </cell>
          <cell r="B428" t="str">
            <v>CABLE, PV, 1KV, 10MM2, RED</v>
          </cell>
          <cell r="E428">
            <v>25.132010000000001</v>
          </cell>
          <cell r="G428">
            <v>13565.5</v>
          </cell>
        </row>
        <row r="429">
          <cell r="A429" t="str">
            <v>32-2000578-X</v>
          </cell>
          <cell r="B429" t="str">
            <v>CABLE, PV, 1KV, 10MM2, RED</v>
          </cell>
          <cell r="E429">
            <v>24.937639999999998</v>
          </cell>
          <cell r="G429">
            <v>10973</v>
          </cell>
        </row>
        <row r="430">
          <cell r="A430" t="str">
            <v>32-2000579</v>
          </cell>
          <cell r="B430" t="str">
            <v>CABLE, PV, 1KV, 10MM2, BLACK</v>
          </cell>
          <cell r="E430">
            <v>24.437660000000001</v>
          </cell>
          <cell r="G430">
            <v>7059</v>
          </cell>
        </row>
        <row r="431">
          <cell r="A431" t="str">
            <v>32-2000579-X</v>
          </cell>
          <cell r="B431" t="str">
            <v>CABLE, PV, 1KV, 10MM2, BLACK</v>
          </cell>
          <cell r="E431">
            <v>24.42192</v>
          </cell>
          <cell r="G431">
            <v>4220</v>
          </cell>
        </row>
        <row r="432">
          <cell r="A432" t="str">
            <v>32-2000582</v>
          </cell>
          <cell r="B432" t="str">
            <v>EARTH CABLES 16MM2</v>
          </cell>
          <cell r="E432">
            <v>33.357550000000003</v>
          </cell>
          <cell r="G432">
            <v>600</v>
          </cell>
        </row>
        <row r="433">
          <cell r="A433" t="str">
            <v>32-2000582-X</v>
          </cell>
          <cell r="B433" t="str">
            <v>EARTH CABLES 16MM2</v>
          </cell>
          <cell r="E433">
            <v>34.399290000000001</v>
          </cell>
          <cell r="G433">
            <v>387</v>
          </cell>
        </row>
        <row r="434">
          <cell r="A434" t="str">
            <v>32-2000582-XX</v>
          </cell>
          <cell r="B434" t="str">
            <v>EARTH CABLES 16MM2</v>
          </cell>
          <cell r="E434">
            <v>34.686970000000002</v>
          </cell>
          <cell r="G434">
            <v>0</v>
          </cell>
        </row>
        <row r="435">
          <cell r="A435" t="str">
            <v>32-2000585</v>
          </cell>
          <cell r="B435" t="str">
            <v>AC CABLE 10MM2 TWIN AND EARTH CABLE</v>
          </cell>
          <cell r="E435">
            <v>57.438110000000002</v>
          </cell>
          <cell r="G435">
            <v>49055</v>
          </cell>
        </row>
        <row r="436">
          <cell r="A436" t="str">
            <v>32-2000585-X</v>
          </cell>
          <cell r="B436" t="str">
            <v>AC CABLE 10MM2 TWIN AND EARTH CABLE</v>
          </cell>
          <cell r="E436">
            <v>58.641840000000002</v>
          </cell>
          <cell r="G436">
            <v>1170</v>
          </cell>
        </row>
        <row r="437">
          <cell r="A437" t="str">
            <v>32-2000652</v>
          </cell>
          <cell r="B437" t="str">
            <v>PERMOPOWER 16MM2 BLUE</v>
          </cell>
          <cell r="E437">
            <v>49.9</v>
          </cell>
          <cell r="G437">
            <v>392</v>
          </cell>
        </row>
        <row r="438">
          <cell r="A438" t="str">
            <v>32-2000652-X</v>
          </cell>
          <cell r="B438" t="str">
            <v>PERMOPOWER 16MM2 BLUE</v>
          </cell>
          <cell r="E438">
            <v>49.9</v>
          </cell>
          <cell r="G438">
            <v>0</v>
          </cell>
        </row>
        <row r="439">
          <cell r="A439" t="str">
            <v>32-2000753</v>
          </cell>
          <cell r="B439" t="str">
            <v>CABLE, SINGLE FLEX, 1MM2, EARTH</v>
          </cell>
          <cell r="E439">
            <v>2.83</v>
          </cell>
          <cell r="G439">
            <v>300</v>
          </cell>
        </row>
        <row r="440">
          <cell r="A440" t="str">
            <v>32-2000840</v>
          </cell>
          <cell r="B440" t="str">
            <v>FFC CABLE, 50 POSITION, P=0.50MM, L=101.60MM</v>
          </cell>
          <cell r="E440">
            <v>57.13</v>
          </cell>
          <cell r="G440">
            <v>0</v>
          </cell>
        </row>
        <row r="441">
          <cell r="A441" t="str">
            <v>32-2000878</v>
          </cell>
          <cell r="B441" t="str">
            <v>CABLE, AC, 16mm2, TWIN AND EARTH</v>
          </cell>
          <cell r="E441">
            <v>97.375</v>
          </cell>
          <cell r="G441">
            <v>200</v>
          </cell>
        </row>
        <row r="442">
          <cell r="A442" t="str">
            <v>32-2000878-OLD</v>
          </cell>
          <cell r="B442" t="str">
            <v>CABLE, AC, 16mm2, TWIN AND EARTH</v>
          </cell>
          <cell r="E442">
            <v>114</v>
          </cell>
          <cell r="G442">
            <v>0</v>
          </cell>
        </row>
        <row r="443">
          <cell r="A443" t="str">
            <v>32-2000878-X</v>
          </cell>
          <cell r="B443" t="str">
            <v>CABLE, AC, 16mm2, TWIN AND EARTH</v>
          </cell>
          <cell r="E443">
            <v>98.315560000000005</v>
          </cell>
          <cell r="G443">
            <v>542</v>
          </cell>
        </row>
        <row r="444">
          <cell r="A444" t="str">
            <v>32-2000878-XXX</v>
          </cell>
          <cell r="B444" t="str">
            <v>CABLE, AC, 16mm2, TWIN AND EARTH</v>
          </cell>
          <cell r="E444">
            <v>0.10997</v>
          </cell>
          <cell r="G444">
            <v>0</v>
          </cell>
        </row>
        <row r="445">
          <cell r="A445" t="str">
            <v>32-2000895</v>
          </cell>
          <cell r="B445" t="str">
            <v>Cable, AC, 2.5mm2, Twin and Earth</v>
          </cell>
          <cell r="E445">
            <v>15.15954</v>
          </cell>
          <cell r="G445">
            <v>240</v>
          </cell>
        </row>
        <row r="446">
          <cell r="A446" t="str">
            <v>32-2000895-X</v>
          </cell>
          <cell r="B446" t="str">
            <v>Cable, AC, 2.5mm2, Twin and Earth</v>
          </cell>
          <cell r="E446">
            <v>15.16954</v>
          </cell>
          <cell r="G446">
            <v>0</v>
          </cell>
        </row>
        <row r="447">
          <cell r="A447" t="str">
            <v>32-2001004</v>
          </cell>
          <cell r="B447" t="str">
            <v>Cable, Singleflex, 6mm2, Black</v>
          </cell>
          <cell r="E447">
            <v>14.40232</v>
          </cell>
          <cell r="G447">
            <v>344</v>
          </cell>
        </row>
        <row r="448">
          <cell r="A448" t="str">
            <v>32-2001005</v>
          </cell>
          <cell r="B448" t="str">
            <v>Cable, Singleflex, 6mm2, Red</v>
          </cell>
          <cell r="E448">
            <v>15.42742</v>
          </cell>
          <cell r="G448">
            <v>353.8</v>
          </cell>
        </row>
        <row r="449">
          <cell r="A449" t="str">
            <v>32-2001016</v>
          </cell>
          <cell r="B449" t="str">
            <v>CABLE, PERMOPOWER, 25MM2, RED</v>
          </cell>
          <cell r="E449">
            <v>62.4</v>
          </cell>
          <cell r="G449">
            <v>995</v>
          </cell>
        </row>
        <row r="450">
          <cell r="A450" t="str">
            <v>32-2001020</v>
          </cell>
          <cell r="B450" t="str">
            <v>CABLE, SINGLEFLEX, 2,5MM2, RED</v>
          </cell>
          <cell r="E450">
            <v>5.5271299999999997</v>
          </cell>
          <cell r="G450">
            <v>391.5</v>
          </cell>
        </row>
        <row r="451">
          <cell r="A451" t="str">
            <v>32-2001020-X</v>
          </cell>
          <cell r="B451" t="str">
            <v>CABLE, SINGLEFLEX, 2,5MM2, RED</v>
          </cell>
          <cell r="E451">
            <v>5.6569099999999999</v>
          </cell>
          <cell r="G451">
            <v>325</v>
          </cell>
        </row>
        <row r="452">
          <cell r="A452" t="str">
            <v>32-2001021</v>
          </cell>
          <cell r="B452" t="str">
            <v>CABLE, SINGLEFLEX, 2,5MM2, BLACK</v>
          </cell>
          <cell r="E452">
            <v>5.9169299999999998</v>
          </cell>
          <cell r="G452">
            <v>493.7</v>
          </cell>
        </row>
        <row r="453">
          <cell r="A453" t="str">
            <v>32-2001021-X</v>
          </cell>
          <cell r="B453" t="str">
            <v>CABLE, SINGLEFLEX, 2,5MM2, BLACK</v>
          </cell>
          <cell r="E453">
            <v>5.99634</v>
          </cell>
          <cell r="G453">
            <v>325</v>
          </cell>
        </row>
        <row r="454">
          <cell r="A454" t="str">
            <v>32-2001021-XX</v>
          </cell>
          <cell r="B454" t="str">
            <v>CABLE, SINGLEFLEX, 2,5MM2, BLACK</v>
          </cell>
          <cell r="E454">
            <v>0</v>
          </cell>
          <cell r="G454">
            <v>0</v>
          </cell>
        </row>
        <row r="455">
          <cell r="A455" t="str">
            <v>32-2001064</v>
          </cell>
          <cell r="B455" t="str">
            <v>Cable, Cabtyre, 2.5mm2, 2 Core</v>
          </cell>
          <cell r="E455">
            <v>15.22437</v>
          </cell>
          <cell r="G455">
            <v>490</v>
          </cell>
        </row>
        <row r="456">
          <cell r="A456" t="str">
            <v>32-2001119</v>
          </cell>
          <cell r="B456" t="str">
            <v>Cable Assy, FFC, 50 Position, p=0.50mm, l=76.20</v>
          </cell>
          <cell r="E456">
            <v>120</v>
          </cell>
          <cell r="G456">
            <v>0</v>
          </cell>
        </row>
        <row r="457">
          <cell r="A457" t="str">
            <v>32-2001134</v>
          </cell>
          <cell r="B457" t="str">
            <v>Cable, Network, 3 pair</v>
          </cell>
          <cell r="E457">
            <v>7.1963999999999997</v>
          </cell>
          <cell r="G457">
            <v>0</v>
          </cell>
        </row>
        <row r="458">
          <cell r="A458" t="str">
            <v>32-2001213</v>
          </cell>
          <cell r="B458" t="str">
            <v>Cable, Singleflex, 25mm2, Red</v>
          </cell>
          <cell r="E458">
            <v>60.594160000000002</v>
          </cell>
          <cell r="G458">
            <v>2118</v>
          </cell>
        </row>
        <row r="459">
          <cell r="A459" t="str">
            <v>32-2001213-X</v>
          </cell>
          <cell r="B459" t="str">
            <v>Cable, Singleflex, 25mm2, Red</v>
          </cell>
          <cell r="E459">
            <v>57.414580000000001</v>
          </cell>
          <cell r="G459">
            <v>0</v>
          </cell>
        </row>
        <row r="460">
          <cell r="A460" t="str">
            <v>32-2001214</v>
          </cell>
          <cell r="B460" t="str">
            <v>Cable, Singleflex, 25mm2, Black</v>
          </cell>
          <cell r="E460">
            <v>59.175249999999998</v>
          </cell>
          <cell r="G460">
            <v>2372</v>
          </cell>
        </row>
        <row r="461">
          <cell r="A461" t="str">
            <v>32-2001214-REDUNDANT</v>
          </cell>
          <cell r="B461" t="str">
            <v>Cable, Singleflex, 25mm2, Black</v>
          </cell>
          <cell r="E461">
            <v>73.81</v>
          </cell>
          <cell r="G461">
            <v>0</v>
          </cell>
        </row>
        <row r="462">
          <cell r="A462" t="str">
            <v>32-2001214-X</v>
          </cell>
          <cell r="B462" t="str">
            <v>Cable, Singleflex, 25mm2, Black</v>
          </cell>
          <cell r="E462">
            <v>41.2258</v>
          </cell>
          <cell r="G462">
            <v>0</v>
          </cell>
        </row>
        <row r="463">
          <cell r="A463" t="str">
            <v>32-2001220</v>
          </cell>
          <cell r="B463" t="str">
            <v>Cable, Singleflex, 16mm2, Red</v>
          </cell>
          <cell r="E463">
            <v>40.873359999999998</v>
          </cell>
          <cell r="G463">
            <v>149</v>
          </cell>
        </row>
        <row r="464">
          <cell r="A464" t="str">
            <v>32-2001220-REDUNDANT</v>
          </cell>
          <cell r="B464" t="str">
            <v>Cable, Singleflex, 16mm2, Red</v>
          </cell>
          <cell r="E464">
            <v>43.79</v>
          </cell>
          <cell r="G464">
            <v>0</v>
          </cell>
        </row>
        <row r="465">
          <cell r="A465" t="str">
            <v>32-2001220-X</v>
          </cell>
          <cell r="B465" t="str">
            <v>Cable, Singleflex, 16mm2, Red</v>
          </cell>
          <cell r="E465">
            <v>39.641750000000002</v>
          </cell>
          <cell r="G465">
            <v>0</v>
          </cell>
        </row>
        <row r="466">
          <cell r="A466" t="str">
            <v>32-2001221</v>
          </cell>
          <cell r="B466" t="str">
            <v>Cable, Singleflex, 16mm2, Black</v>
          </cell>
          <cell r="E466">
            <v>41.357019999999999</v>
          </cell>
          <cell r="G466">
            <v>0</v>
          </cell>
        </row>
        <row r="467">
          <cell r="A467" t="str">
            <v>32-2001221-REDUNDANT</v>
          </cell>
          <cell r="B467" t="str">
            <v>Cable, Singleflex, 16mm2, Black</v>
          </cell>
          <cell r="E467">
            <v>43.79</v>
          </cell>
          <cell r="G467">
            <v>0</v>
          </cell>
        </row>
        <row r="468">
          <cell r="A468" t="str">
            <v>32-2001221-X</v>
          </cell>
          <cell r="B468" t="str">
            <v>Cable, Singleflex, 16mm2, Black</v>
          </cell>
          <cell r="E468">
            <v>39.496420000000001</v>
          </cell>
          <cell r="G468">
            <v>9</v>
          </cell>
        </row>
        <row r="469">
          <cell r="A469" t="str">
            <v>32-2001231</v>
          </cell>
          <cell r="B469" t="str">
            <v>Cable, Singleflex, 16mm2, Blue</v>
          </cell>
          <cell r="E469">
            <v>41.504809999999999</v>
          </cell>
          <cell r="G469">
            <v>1700</v>
          </cell>
        </row>
        <row r="470">
          <cell r="A470" t="str">
            <v>32-2001231-REDUNDANT</v>
          </cell>
          <cell r="B470" t="str">
            <v>Cable, Singleflex, 16mm2, Blue</v>
          </cell>
          <cell r="E470">
            <v>43.79</v>
          </cell>
          <cell r="G470">
            <v>0</v>
          </cell>
        </row>
        <row r="471">
          <cell r="A471" t="str">
            <v>32-2001231-X</v>
          </cell>
          <cell r="B471" t="str">
            <v>Cable, Singleflex, 16mm2, Blue</v>
          </cell>
          <cell r="E471">
            <v>39.957799999999999</v>
          </cell>
          <cell r="G471">
            <v>60</v>
          </cell>
        </row>
        <row r="472">
          <cell r="A472" t="str">
            <v>32-2001232</v>
          </cell>
          <cell r="B472" t="str">
            <v>Cable, Singleflex, 16mm2, White</v>
          </cell>
          <cell r="E472">
            <v>41.482050000000001</v>
          </cell>
          <cell r="G472">
            <v>1600</v>
          </cell>
        </row>
        <row r="473">
          <cell r="A473" t="str">
            <v>32-2001232-REDUNDANT</v>
          </cell>
          <cell r="B473" t="str">
            <v>Cable, Singleflex, 16mm2, White</v>
          </cell>
          <cell r="E473">
            <v>43.79</v>
          </cell>
          <cell r="G473">
            <v>0</v>
          </cell>
        </row>
        <row r="474">
          <cell r="A474" t="str">
            <v>32-2001232-X</v>
          </cell>
          <cell r="B474" t="str">
            <v>Cable, Singleflex, 16mm2, White</v>
          </cell>
          <cell r="E474">
            <v>40.060009999999998</v>
          </cell>
          <cell r="G474">
            <v>100</v>
          </cell>
        </row>
        <row r="475">
          <cell r="A475" t="str">
            <v>32-2001298</v>
          </cell>
          <cell r="B475" t="str">
            <v>Cable, Steel Wire Armoured, 16mm2, 4-Core</v>
          </cell>
          <cell r="E475">
            <v>171</v>
          </cell>
          <cell r="G475">
            <v>500</v>
          </cell>
        </row>
        <row r="476">
          <cell r="A476" t="str">
            <v>32-2001298-X</v>
          </cell>
          <cell r="B476" t="str">
            <v>Cable, Steel Wire Armoured, 16mm2, 4-Core, Red</v>
          </cell>
          <cell r="E476">
            <v>171</v>
          </cell>
          <cell r="G476">
            <v>0</v>
          </cell>
        </row>
        <row r="477">
          <cell r="A477" t="str">
            <v>32-2001307</v>
          </cell>
          <cell r="B477" t="str">
            <v>Cable, Cat6, FTP, 4 pair, UV</v>
          </cell>
          <cell r="E477">
            <v>0</v>
          </cell>
          <cell r="G477">
            <v>0</v>
          </cell>
        </row>
        <row r="478">
          <cell r="A478" t="str">
            <v>32-2001307-X</v>
          </cell>
          <cell r="B478" t="str">
            <v>Cable, Cat6, FTP, 4 pair, UV</v>
          </cell>
          <cell r="E478">
            <v>0</v>
          </cell>
          <cell r="G478">
            <v>0</v>
          </cell>
        </row>
        <row r="479">
          <cell r="A479" t="str">
            <v>32-2001311</v>
          </cell>
          <cell r="B479" t="str">
            <v>Cable, Steel Wire Armoured, 70mm2, 4-Core, Red</v>
          </cell>
          <cell r="E479">
            <v>682.88234999999997</v>
          </cell>
          <cell r="G479">
            <v>255</v>
          </cell>
        </row>
        <row r="480">
          <cell r="A480" t="str">
            <v>32-2001311-X</v>
          </cell>
          <cell r="B480" t="str">
            <v>Cable, Steel Wire Armoured, 70mm2, 4-Core, Red</v>
          </cell>
          <cell r="E480">
            <v>0</v>
          </cell>
          <cell r="G480">
            <v>0</v>
          </cell>
        </row>
        <row r="481">
          <cell r="A481" t="str">
            <v>32-2001315</v>
          </cell>
          <cell r="B481" t="str">
            <v>Cable, Housewire, 70mm2, Earth</v>
          </cell>
          <cell r="E481">
            <v>202</v>
          </cell>
          <cell r="G481">
            <v>15</v>
          </cell>
        </row>
        <row r="482">
          <cell r="A482" t="str">
            <v>32-2001315-X</v>
          </cell>
          <cell r="B482" t="str">
            <v>Cable, Housewire, 70mm2, Earth</v>
          </cell>
          <cell r="E482">
            <v>165.72549000000001</v>
          </cell>
          <cell r="G482">
            <v>0</v>
          </cell>
        </row>
        <row r="483">
          <cell r="A483" t="str">
            <v>32-2001327</v>
          </cell>
          <cell r="B483" t="str">
            <v>Cable, Steel Wire Armoured, 95mm2, 4-Core, Red</v>
          </cell>
          <cell r="E483">
            <v>920</v>
          </cell>
          <cell r="G483">
            <v>360</v>
          </cell>
        </row>
        <row r="484">
          <cell r="A484" t="str">
            <v>32-2001327-X</v>
          </cell>
          <cell r="B484" t="str">
            <v>Cable, Steel Wire Armoured, 95mm2, 4-Core, Red</v>
          </cell>
          <cell r="E484">
            <v>0</v>
          </cell>
          <cell r="G484">
            <v>0</v>
          </cell>
        </row>
        <row r="485">
          <cell r="A485" t="str">
            <v>32-2001329</v>
          </cell>
          <cell r="B485" t="str">
            <v>Cable, Steel Wire Armoured, 120mm2, 4-Core, Red</v>
          </cell>
          <cell r="E485">
            <v>1266</v>
          </cell>
          <cell r="G485">
            <v>0</v>
          </cell>
        </row>
        <row r="486">
          <cell r="A486" t="str">
            <v>32-2001329-X</v>
          </cell>
          <cell r="B486" t="str">
            <v>Cable, Steel Wire Armoured, 120mm2, 4-Core, Red</v>
          </cell>
          <cell r="E486">
            <v>1266</v>
          </cell>
          <cell r="G486">
            <v>0</v>
          </cell>
        </row>
        <row r="487">
          <cell r="A487" t="str">
            <v>32-2001424</v>
          </cell>
          <cell r="B487" t="str">
            <v>Cable, SingleFlex, 1mm2, White</v>
          </cell>
          <cell r="E487">
            <v>2.9032499999999999</v>
          </cell>
          <cell r="G487">
            <v>207</v>
          </cell>
        </row>
        <row r="488">
          <cell r="A488" t="str">
            <v>32-2001425</v>
          </cell>
          <cell r="B488" t="str">
            <v>Cable, SingleFlex, 1mm2, Blue</v>
          </cell>
          <cell r="E488">
            <v>2.9130600000000002</v>
          </cell>
          <cell r="G488">
            <v>139</v>
          </cell>
        </row>
        <row r="489">
          <cell r="A489" t="str">
            <v>32-2001596</v>
          </cell>
          <cell r="B489" t="str">
            <v>Cable, Singleflex, 4mm2, Red</v>
          </cell>
          <cell r="E489">
            <v>9.8498599999999996</v>
          </cell>
          <cell r="G489">
            <v>120</v>
          </cell>
        </row>
        <row r="490">
          <cell r="A490" t="str">
            <v>32-2001597</v>
          </cell>
          <cell r="B490" t="str">
            <v xml:space="preserve">Cable, Singleflex, 4mm2, Black </v>
          </cell>
          <cell r="E490">
            <v>9.85</v>
          </cell>
          <cell r="G490">
            <v>100</v>
          </cell>
        </row>
        <row r="491">
          <cell r="A491" t="str">
            <v>32-2001684</v>
          </cell>
          <cell r="B491" t="str">
            <v>Cable, Singleflex, 1.5mm, Black</v>
          </cell>
          <cell r="E491">
            <v>3.6879</v>
          </cell>
          <cell r="G491">
            <v>200</v>
          </cell>
        </row>
        <row r="492">
          <cell r="A492" t="str">
            <v>32-2001684-X</v>
          </cell>
          <cell r="B492" t="str">
            <v>Cable, Singleflex, 1.5mm, Black</v>
          </cell>
          <cell r="E492">
            <v>3.69</v>
          </cell>
          <cell r="G492">
            <v>0</v>
          </cell>
        </row>
        <row r="493">
          <cell r="A493" t="str">
            <v>32-2001767</v>
          </cell>
          <cell r="B493" t="str">
            <v>Cable, 2 Pair, 24 AWG, UTP</v>
          </cell>
          <cell r="E493">
            <v>4.9112</v>
          </cell>
          <cell r="G493">
            <v>915</v>
          </cell>
        </row>
        <row r="494">
          <cell r="A494" t="str">
            <v>32-2001772</v>
          </cell>
          <cell r="B494" t="str">
            <v>Cable, Multicore, 1.5mm2 screened, 8 pair</v>
          </cell>
          <cell r="E494">
            <v>55.312280000000001</v>
          </cell>
          <cell r="G494">
            <v>0</v>
          </cell>
        </row>
        <row r="495">
          <cell r="A495" t="str">
            <v>32-2001772-X</v>
          </cell>
          <cell r="B495" t="str">
            <v>Cable, Multicore, 1.5mm2 screened, 8 pair</v>
          </cell>
          <cell r="E495">
            <v>55.312260000000002</v>
          </cell>
          <cell r="G495">
            <v>159</v>
          </cell>
        </row>
        <row r="496">
          <cell r="A496" t="str">
            <v>32-2001859</v>
          </cell>
          <cell r="B496" t="str">
            <v>Cable, Steel Wire Armoured, 50mm2, 4-Core, Red</v>
          </cell>
          <cell r="E496">
            <v>490.13</v>
          </cell>
          <cell r="G496">
            <v>0</v>
          </cell>
        </row>
        <row r="497">
          <cell r="A497" t="str">
            <v>32-2001859-X</v>
          </cell>
          <cell r="B497" t="str">
            <v>Cable, Steel Wire Armoured, 50mm2, 4-Core, Red</v>
          </cell>
          <cell r="E497">
            <v>490.13</v>
          </cell>
          <cell r="G497">
            <v>0</v>
          </cell>
        </row>
        <row r="498">
          <cell r="A498" t="str">
            <v>32-2001867</v>
          </cell>
          <cell r="B498" t="str">
            <v>Cable, Housewire, 70mm2, 1-Core, Black</v>
          </cell>
          <cell r="E498">
            <v>168.995</v>
          </cell>
          <cell r="G498">
            <v>10</v>
          </cell>
        </row>
        <row r="499">
          <cell r="A499" t="str">
            <v>32-2001867-X</v>
          </cell>
          <cell r="B499" t="str">
            <v>Cable, Housewire, 70mm2, 1-Core, Black</v>
          </cell>
          <cell r="E499">
            <v>0</v>
          </cell>
          <cell r="G499">
            <v>0</v>
          </cell>
        </row>
        <row r="500">
          <cell r="A500" t="str">
            <v>32-2001868</v>
          </cell>
          <cell r="B500" t="str">
            <v>Cable, Housewire, 70mm2, 1-Core, Red</v>
          </cell>
          <cell r="E500">
            <v>165</v>
          </cell>
          <cell r="G500">
            <v>500</v>
          </cell>
        </row>
        <row r="501">
          <cell r="A501" t="str">
            <v>32-2001868-X</v>
          </cell>
          <cell r="B501" t="str">
            <v>Cable, Housewire, 70mm2, 1-Core, Red</v>
          </cell>
          <cell r="E501">
            <v>0</v>
          </cell>
          <cell r="G501">
            <v>0</v>
          </cell>
        </row>
        <row r="502">
          <cell r="A502" t="str">
            <v>32-2001869</v>
          </cell>
          <cell r="B502" t="str">
            <v>Cable, Housewire, 70mm2, 1-Core, White</v>
          </cell>
          <cell r="E502">
            <v>165</v>
          </cell>
          <cell r="G502">
            <v>500</v>
          </cell>
        </row>
        <row r="503">
          <cell r="A503" t="str">
            <v>32-2001869-X</v>
          </cell>
          <cell r="B503" t="str">
            <v>Cable, Housewire, 70mm2, 1-Core, White</v>
          </cell>
          <cell r="E503">
            <v>0</v>
          </cell>
          <cell r="G503">
            <v>0</v>
          </cell>
        </row>
        <row r="504">
          <cell r="A504" t="str">
            <v>32-2001870</v>
          </cell>
          <cell r="B504" t="str">
            <v>Cable, Housewire, 70mm2, 1-Core, Blue</v>
          </cell>
          <cell r="E504">
            <v>165</v>
          </cell>
          <cell r="G504">
            <v>500</v>
          </cell>
        </row>
        <row r="505">
          <cell r="A505" t="str">
            <v>32-2001870-X</v>
          </cell>
          <cell r="B505" t="str">
            <v>Cable, Housewire, 70mm2, 1-Core, Blue</v>
          </cell>
          <cell r="E505">
            <v>0</v>
          </cell>
          <cell r="G505">
            <v>0</v>
          </cell>
        </row>
        <row r="506">
          <cell r="A506" t="str">
            <v>32-2001871</v>
          </cell>
          <cell r="B506" t="str">
            <v>Cable, Housewire, 95mm2, 1-Core, Black</v>
          </cell>
          <cell r="E506">
            <v>244.81091000000001</v>
          </cell>
          <cell r="G506">
            <v>22</v>
          </cell>
        </row>
        <row r="507">
          <cell r="A507" t="str">
            <v>32-2001871-X</v>
          </cell>
          <cell r="B507" t="str">
            <v>Cable, Housewire, 95mm2, 1-Core, Black</v>
          </cell>
          <cell r="E507">
            <v>0</v>
          </cell>
          <cell r="G507">
            <v>0</v>
          </cell>
        </row>
        <row r="508">
          <cell r="A508" t="str">
            <v>32-2001872</v>
          </cell>
          <cell r="B508" t="str">
            <v>Cable, Housewire, 95mm2, 1-Core, Red</v>
          </cell>
          <cell r="E508">
            <v>239</v>
          </cell>
          <cell r="G508">
            <v>500</v>
          </cell>
        </row>
        <row r="509">
          <cell r="A509" t="str">
            <v>32-2001872-X</v>
          </cell>
          <cell r="B509" t="str">
            <v>Cable, Housewire, 95mm2, 1-Core, Red</v>
          </cell>
          <cell r="E509">
            <v>0</v>
          </cell>
          <cell r="G509">
            <v>0</v>
          </cell>
        </row>
        <row r="510">
          <cell r="A510" t="str">
            <v>32-2001873</v>
          </cell>
          <cell r="B510" t="str">
            <v>Cable, Housewire, 95mm2, 1-Core, White</v>
          </cell>
          <cell r="E510">
            <v>239</v>
          </cell>
          <cell r="G510">
            <v>500</v>
          </cell>
        </row>
        <row r="511">
          <cell r="A511" t="str">
            <v>32-2001873-X</v>
          </cell>
          <cell r="B511" t="str">
            <v>Cable, Housewire, 95mm2, 1-Core, White</v>
          </cell>
          <cell r="E511">
            <v>0</v>
          </cell>
          <cell r="G511">
            <v>0</v>
          </cell>
        </row>
        <row r="512">
          <cell r="A512" t="str">
            <v>32-2001874</v>
          </cell>
          <cell r="B512" t="str">
            <v>Cable, Housewire, 95mm2, 1-Core, Blue</v>
          </cell>
          <cell r="E512">
            <v>239</v>
          </cell>
          <cell r="G512">
            <v>500</v>
          </cell>
        </row>
        <row r="513">
          <cell r="A513" t="str">
            <v>32-2001874-X</v>
          </cell>
          <cell r="B513" t="str">
            <v>Cable, Housewire, 95mm2, 1-Core, Blue</v>
          </cell>
          <cell r="E513">
            <v>0</v>
          </cell>
          <cell r="G513">
            <v>0</v>
          </cell>
        </row>
        <row r="514">
          <cell r="A514" t="str">
            <v>32-2001953</v>
          </cell>
          <cell r="B514" t="str">
            <v>Wire, 0.22mm, Multi Strand, Red</v>
          </cell>
          <cell r="E514">
            <v>0</v>
          </cell>
          <cell r="G514">
            <v>0</v>
          </cell>
        </row>
        <row r="515">
          <cell r="A515" t="str">
            <v>32-2001954</v>
          </cell>
          <cell r="B515" t="str">
            <v>Wire, 0.22mm, Multi Strand, Black</v>
          </cell>
          <cell r="E515">
            <v>0</v>
          </cell>
          <cell r="G515">
            <v>0</v>
          </cell>
        </row>
        <row r="516">
          <cell r="A516" t="str">
            <v>32-2001955</v>
          </cell>
          <cell r="B516" t="str">
            <v>Wire, 0.22mm, Multi Strand, Green</v>
          </cell>
          <cell r="E516">
            <v>0</v>
          </cell>
          <cell r="G516">
            <v>0</v>
          </cell>
        </row>
        <row r="517">
          <cell r="A517" t="str">
            <v>32-2001956</v>
          </cell>
          <cell r="B517" t="str">
            <v>Wire, 0.22mm, Multi Strand, Yellow</v>
          </cell>
          <cell r="E517">
            <v>0</v>
          </cell>
          <cell r="G517">
            <v>0</v>
          </cell>
        </row>
        <row r="518">
          <cell r="A518" t="str">
            <v>32-2002000</v>
          </cell>
          <cell r="B518" t="str">
            <v>Cable, 1 Pair, 24 AWG, UTP</v>
          </cell>
          <cell r="E518">
            <v>5.7796500000000002</v>
          </cell>
          <cell r="G518">
            <v>200</v>
          </cell>
        </row>
        <row r="519">
          <cell r="A519" t="str">
            <v>32-2002012</v>
          </cell>
          <cell r="B519" t="str">
            <v>Cable, SingleFlex, 1mm2, Earth</v>
          </cell>
          <cell r="E519">
            <v>2.9428299999999998</v>
          </cell>
          <cell r="G519">
            <v>198</v>
          </cell>
        </row>
        <row r="520">
          <cell r="A520" t="str">
            <v>32-2002022</v>
          </cell>
          <cell r="B520" t="str">
            <v>Cable, Singleflex, 1mm2, Purple</v>
          </cell>
          <cell r="E520">
            <v>2.944</v>
          </cell>
          <cell r="G520">
            <v>297.5</v>
          </cell>
        </row>
        <row r="521">
          <cell r="A521" t="str">
            <v>32-2002023</v>
          </cell>
          <cell r="B521" t="str">
            <v>Cable, Singleflex, 1mm2, Pink</v>
          </cell>
          <cell r="E521">
            <v>2.9433600000000002</v>
          </cell>
          <cell r="G521">
            <v>298</v>
          </cell>
        </row>
        <row r="522">
          <cell r="A522" t="str">
            <v>32-2002024</v>
          </cell>
          <cell r="B522" t="str">
            <v>Cable, Singleflex, 1mm2, Orange</v>
          </cell>
          <cell r="E522">
            <v>2.9438900000000001</v>
          </cell>
          <cell r="G522">
            <v>298</v>
          </cell>
        </row>
        <row r="523">
          <cell r="A523" t="str">
            <v>32-2002025</v>
          </cell>
          <cell r="B523" t="str">
            <v>Cable, Singleflex, 1mm2, Grey</v>
          </cell>
          <cell r="E523">
            <v>2.944</v>
          </cell>
          <cell r="G523">
            <v>297.5</v>
          </cell>
        </row>
        <row r="524">
          <cell r="A524" t="str">
            <v>32-2002086</v>
          </cell>
          <cell r="B524" t="str">
            <v>Cable, Singleflex, 16mm2, Earth</v>
          </cell>
          <cell r="E524">
            <v>0</v>
          </cell>
          <cell r="G524">
            <v>0</v>
          </cell>
        </row>
        <row r="525">
          <cell r="A525" t="str">
            <v>32-2306018</v>
          </cell>
          <cell r="B525" t="str">
            <v>PERMOPOWER 155MM BLUE WELDING CABLE</v>
          </cell>
          <cell r="E525">
            <v>0</v>
          </cell>
          <cell r="G525">
            <v>0</v>
          </cell>
        </row>
        <row r="526">
          <cell r="A526" t="str">
            <v>32-2306233</v>
          </cell>
          <cell r="B526" t="str">
            <v>CABLE, SINGLE FLEX, 1,5MM2, EARTH</v>
          </cell>
          <cell r="E526">
            <v>3.92</v>
          </cell>
          <cell r="G526">
            <v>1100</v>
          </cell>
        </row>
        <row r="527">
          <cell r="A527" t="str">
            <v>32-2306233-X</v>
          </cell>
          <cell r="B527" t="str">
            <v>CABLE, SINGLEFLEX, 1,5MM2, EARTH</v>
          </cell>
          <cell r="E527">
            <v>3.58</v>
          </cell>
          <cell r="G527">
            <v>0</v>
          </cell>
        </row>
        <row r="528">
          <cell r="A528" t="str">
            <v>33-1000775-02</v>
          </cell>
          <cell r="B528" t="str">
            <v>Busbar, Insulated, 63A, 1P, 56 Way, Cut</v>
          </cell>
          <cell r="E528">
            <v>0.2</v>
          </cell>
          <cell r="G528">
            <v>62</v>
          </cell>
        </row>
        <row r="529">
          <cell r="A529" t="str">
            <v>33-1000775-03</v>
          </cell>
          <cell r="B529" t="str">
            <v>Busbar, Insulated, 63A, 1P, 56 Way, Cut</v>
          </cell>
          <cell r="E529">
            <v>3.0017</v>
          </cell>
          <cell r="G529">
            <v>47</v>
          </cell>
        </row>
        <row r="530">
          <cell r="A530" t="str">
            <v>33-1001055-04</v>
          </cell>
          <cell r="B530" t="str">
            <v>Busbar, Insulated, 63A, 2P, Cut</v>
          </cell>
          <cell r="E530">
            <v>50.589599999999997</v>
          </cell>
          <cell r="G530">
            <v>50</v>
          </cell>
        </row>
        <row r="531">
          <cell r="A531" t="str">
            <v>33-1001169-02</v>
          </cell>
          <cell r="B531" t="str">
            <v>Busbar, Insulated, 100A, 1P, 24 Way, Cut</v>
          </cell>
          <cell r="E531">
            <v>14.5</v>
          </cell>
          <cell r="G531">
            <v>10</v>
          </cell>
        </row>
        <row r="532">
          <cell r="A532" t="str">
            <v>33-1001169-03</v>
          </cell>
          <cell r="B532" t="str">
            <v>Busbar, Insulated, 100A, 1P, 24 Way, Cut</v>
          </cell>
          <cell r="E532">
            <v>22.785710000000002</v>
          </cell>
          <cell r="G532">
            <v>3</v>
          </cell>
        </row>
        <row r="533">
          <cell r="A533" t="str">
            <v>33-1001169-04</v>
          </cell>
          <cell r="B533" t="str">
            <v>Busbar, Insulated, 100A, 1P, 24 Way, Cut</v>
          </cell>
          <cell r="E533">
            <v>28.420770000000001</v>
          </cell>
          <cell r="G533">
            <v>27</v>
          </cell>
        </row>
        <row r="534">
          <cell r="A534" t="str">
            <v>33-1001263-06</v>
          </cell>
          <cell r="B534" t="str">
            <v>Busbar, Insulated, 100A, 2P, 24 Way-Cut</v>
          </cell>
          <cell r="E534">
            <v>176.9205</v>
          </cell>
          <cell r="G534">
            <v>0</v>
          </cell>
        </row>
        <row r="535">
          <cell r="A535" t="str">
            <v>33-20001061</v>
          </cell>
          <cell r="B535" t="str">
            <v>Switch, Fireman, 20A, 230V, 2P</v>
          </cell>
          <cell r="E535">
            <v>0</v>
          </cell>
          <cell r="G535">
            <v>0</v>
          </cell>
        </row>
        <row r="536">
          <cell r="A536" t="str">
            <v>33-2000153</v>
          </cell>
          <cell r="B536" t="str">
            <v>MCB, 6KA, 2P, 10A</v>
          </cell>
          <cell r="E536">
            <v>166.47299000000001</v>
          </cell>
          <cell r="G536">
            <v>1363</v>
          </cell>
        </row>
        <row r="537">
          <cell r="A537" t="str">
            <v>33-2000154</v>
          </cell>
          <cell r="B537" t="str">
            <v>MCB, 6KA, 2P, 16A</v>
          </cell>
          <cell r="E537">
            <v>166.75444999999999</v>
          </cell>
          <cell r="G537">
            <v>1438</v>
          </cell>
        </row>
        <row r="538">
          <cell r="A538" t="str">
            <v>33-2000155</v>
          </cell>
          <cell r="B538" t="str">
            <v>MCB, 6KA, 2P, 20A</v>
          </cell>
          <cell r="E538">
            <v>161.31303</v>
          </cell>
          <cell r="G538">
            <v>2316</v>
          </cell>
        </row>
        <row r="539">
          <cell r="A539" t="str">
            <v>33-2000156</v>
          </cell>
          <cell r="B539" t="str">
            <v>MCB, 6KA, 2P, 32A</v>
          </cell>
          <cell r="E539">
            <v>175.14126999999999</v>
          </cell>
          <cell r="G539">
            <v>2800</v>
          </cell>
        </row>
        <row r="540">
          <cell r="A540" t="str">
            <v>33-2000157</v>
          </cell>
          <cell r="B540" t="str">
            <v>MCB, 6KA, 2P, 63A</v>
          </cell>
          <cell r="E540">
            <v>310.23313000000002</v>
          </cell>
          <cell r="G540">
            <v>139</v>
          </cell>
        </row>
        <row r="541">
          <cell r="A541" t="str">
            <v>33-2000158</v>
          </cell>
          <cell r="B541" t="str">
            <v>PILOT LIGHT, AC, 1P, GREEN</v>
          </cell>
          <cell r="E541">
            <v>110.59546</v>
          </cell>
          <cell r="G541">
            <v>2501</v>
          </cell>
        </row>
        <row r="542">
          <cell r="A542" t="str">
            <v>33-2000159</v>
          </cell>
          <cell r="B542" t="str">
            <v>PILOT LIGHT, AC, 1P, RED</v>
          </cell>
          <cell r="E542">
            <v>112.05401000000001</v>
          </cell>
          <cell r="G542">
            <v>1318</v>
          </cell>
        </row>
        <row r="543">
          <cell r="A543" t="str">
            <v>33-2000164</v>
          </cell>
          <cell r="B543" t="str">
            <v>CHANGEOVER SWITCH, 2P, CO, 63A</v>
          </cell>
          <cell r="E543">
            <v>330.67282999999998</v>
          </cell>
          <cell r="G543">
            <v>209</v>
          </cell>
        </row>
        <row r="544">
          <cell r="A544" t="str">
            <v>33-2000171</v>
          </cell>
          <cell r="B544" t="str">
            <v>FUSE BASE, NH1, 3P</v>
          </cell>
          <cell r="E544">
            <v>570.75563999999997</v>
          </cell>
          <cell r="G544">
            <v>169</v>
          </cell>
        </row>
        <row r="545">
          <cell r="A545" t="str">
            <v>33-2000173</v>
          </cell>
          <cell r="B545" t="str">
            <v>POWER METER, TBB</v>
          </cell>
          <cell r="E545">
            <v>702.53575999999998</v>
          </cell>
          <cell r="G545">
            <v>363</v>
          </cell>
        </row>
        <row r="546">
          <cell r="A546" t="str">
            <v>33-2000174</v>
          </cell>
          <cell r="B546" t="str">
            <v>POWER METER, RELAY, RS485</v>
          </cell>
          <cell r="E546">
            <v>383.05315999999999</v>
          </cell>
          <cell r="G546">
            <v>873</v>
          </cell>
        </row>
        <row r="547">
          <cell r="A547" t="str">
            <v>33-2000180</v>
          </cell>
          <cell r="B547" t="str">
            <v>FUSE, NH1, 250A, 500V, 120KA</v>
          </cell>
          <cell r="E547">
            <v>121.18210999999999</v>
          </cell>
          <cell r="G547">
            <v>215</v>
          </cell>
        </row>
        <row r="548">
          <cell r="A548" t="str">
            <v>33-2000182</v>
          </cell>
          <cell r="B548" t="str">
            <v>FUSE BASE, NH00, 3P</v>
          </cell>
          <cell r="E548">
            <v>180.72524000000001</v>
          </cell>
          <cell r="G548">
            <v>760</v>
          </cell>
        </row>
        <row r="549">
          <cell r="A549" t="str">
            <v>33-2000183</v>
          </cell>
          <cell r="B549" t="str">
            <v>FUSE, NH00, 125A, 500V, 120KA</v>
          </cell>
          <cell r="E549">
            <v>52.85866</v>
          </cell>
          <cell r="G549">
            <v>1724</v>
          </cell>
        </row>
        <row r="550">
          <cell r="A550" t="str">
            <v>33-2000188</v>
          </cell>
          <cell r="B550" t="str">
            <v>CHANGEOVER SWITCH, 2P, CO, 40A</v>
          </cell>
          <cell r="E550">
            <v>216.71218999999999</v>
          </cell>
          <cell r="G550">
            <v>1706</v>
          </cell>
        </row>
        <row r="551">
          <cell r="A551" t="str">
            <v>33-2000191</v>
          </cell>
          <cell r="B551" t="str">
            <v>FUSE BASE, NH00, 1P</v>
          </cell>
          <cell r="E551">
            <v>73.91216</v>
          </cell>
          <cell r="G551">
            <v>1456</v>
          </cell>
        </row>
        <row r="552">
          <cell r="A552" t="str">
            <v>33-2000378</v>
          </cell>
          <cell r="B552" t="str">
            <v>SWITCH, 2P, 2W, NO</v>
          </cell>
          <cell r="E552">
            <v>32.20485</v>
          </cell>
          <cell r="G552">
            <v>0</v>
          </cell>
        </row>
        <row r="553">
          <cell r="A553" t="str">
            <v>33-2000379</v>
          </cell>
          <cell r="B553" t="str">
            <v>Busbar, 7 Way, DIN Mount, Green</v>
          </cell>
          <cell r="E553">
            <v>28.24221</v>
          </cell>
          <cell r="G553">
            <v>190</v>
          </cell>
        </row>
        <row r="554">
          <cell r="A554" t="str">
            <v>33-2000476</v>
          </cell>
          <cell r="B554" t="str">
            <v>SWITCH, ROCK, 6AMP, 250V, BLACK</v>
          </cell>
          <cell r="E554">
            <v>5.1739899999999999</v>
          </cell>
          <cell r="G554">
            <v>2882</v>
          </cell>
        </row>
        <row r="555">
          <cell r="A555" t="str">
            <v>33-2000478</v>
          </cell>
          <cell r="B555" t="str">
            <v>FUSE, CERAMIC, 5A, 5X20</v>
          </cell>
          <cell r="E555">
            <v>3.5</v>
          </cell>
          <cell r="G555">
            <v>440</v>
          </cell>
        </row>
        <row r="556">
          <cell r="A556" t="str">
            <v>33-2000573</v>
          </cell>
          <cell r="B556" t="str">
            <v>SPD, 1000V DC, 3P, type1+2</v>
          </cell>
          <cell r="E556">
            <v>1835</v>
          </cell>
          <cell r="G556">
            <v>0</v>
          </cell>
        </row>
        <row r="557">
          <cell r="A557" t="str">
            <v>33-2000574</v>
          </cell>
          <cell r="B557" t="str">
            <v>FUSE, 20A, 1000V DC, 10X38</v>
          </cell>
          <cell r="E557">
            <v>34.890810000000002</v>
          </cell>
          <cell r="G557">
            <v>59</v>
          </cell>
        </row>
        <row r="558">
          <cell r="A558" t="str">
            <v>33-2000600</v>
          </cell>
          <cell r="B558" t="str">
            <v>MCB, 6KA, 1P, 16A</v>
          </cell>
          <cell r="E558">
            <v>51.61374</v>
          </cell>
          <cell r="G558">
            <v>741</v>
          </cell>
        </row>
        <row r="559">
          <cell r="A559" t="str">
            <v>33-2000601</v>
          </cell>
          <cell r="B559" t="str">
            <v>RCD, 230V, 63A, 30MA, 2P</v>
          </cell>
          <cell r="E559">
            <v>387.96659</v>
          </cell>
          <cell r="G559">
            <v>109</v>
          </cell>
        </row>
        <row r="560">
          <cell r="A560" t="str">
            <v>33-2000603</v>
          </cell>
          <cell r="B560" t="str">
            <v>DB, SURFACE MOUNT, 1X18, PARENT DOOR, LIGHT GREY</v>
          </cell>
          <cell r="E560">
            <v>354.37407999999999</v>
          </cell>
          <cell r="G560">
            <v>62</v>
          </cell>
        </row>
        <row r="561">
          <cell r="A561" t="str">
            <v>33-2000604</v>
          </cell>
          <cell r="B561" t="str">
            <v>Busbar, 7 Way, DIN Mount, Blue</v>
          </cell>
          <cell r="E561">
            <v>24.502849999999999</v>
          </cell>
          <cell r="G561">
            <v>550</v>
          </cell>
        </row>
        <row r="562">
          <cell r="A562" t="str">
            <v>33-2000620</v>
          </cell>
          <cell r="B562" t="str">
            <v>RCD, 230V, 40A, 30MA, 2P</v>
          </cell>
          <cell r="E562">
            <v>316.25</v>
          </cell>
          <cell r="G562">
            <v>397</v>
          </cell>
        </row>
        <row r="563">
          <cell r="A563" t="str">
            <v>33-2000658</v>
          </cell>
          <cell r="B563" t="str">
            <v>RELAY, 230VAC, 2P2T, 8A</v>
          </cell>
          <cell r="E563">
            <v>94.6</v>
          </cell>
          <cell r="G563">
            <v>2675</v>
          </cell>
        </row>
        <row r="564">
          <cell r="A564" t="str">
            <v>33-2000672</v>
          </cell>
          <cell r="B564" t="str">
            <v>PV SURGER PROTECTOR, 40KA, 600VDC</v>
          </cell>
          <cell r="E564">
            <v>771.70244000000002</v>
          </cell>
          <cell r="G564">
            <v>40</v>
          </cell>
        </row>
        <row r="565">
          <cell r="A565" t="str">
            <v>33-2000675</v>
          </cell>
          <cell r="B565" t="str">
            <v>FUSE HOLDER, DIN, 10X38, 1000VDC, 32A</v>
          </cell>
          <cell r="E565">
            <v>40.326799999999999</v>
          </cell>
          <cell r="G565">
            <v>132</v>
          </cell>
        </row>
        <row r="566">
          <cell r="A566" t="str">
            <v>33-2000775</v>
          </cell>
          <cell r="B566" t="str">
            <v>BUS BAR, 63A, 1P, 56 WAY</v>
          </cell>
          <cell r="E566">
            <v>10.78402</v>
          </cell>
          <cell r="G566">
            <v>535</v>
          </cell>
        </row>
        <row r="567">
          <cell r="A567" t="str">
            <v>33-2000776</v>
          </cell>
          <cell r="B567" t="str">
            <v>MCB, 6KA, 2P, 63A, 500VDC, K-CURVE, NON-POLARIZED</v>
          </cell>
          <cell r="E567">
            <v>360.4</v>
          </cell>
          <cell r="G567">
            <v>0</v>
          </cell>
        </row>
        <row r="568">
          <cell r="A568" t="str">
            <v>33-2000892</v>
          </cell>
          <cell r="B568" t="str">
            <v>MCB, 6kA, 1P, 20A, C-Curve</v>
          </cell>
          <cell r="E568">
            <v>55.509219999999999</v>
          </cell>
          <cell r="G568">
            <v>123</v>
          </cell>
        </row>
        <row r="569">
          <cell r="A569" t="str">
            <v>33-2000923</v>
          </cell>
          <cell r="B569" t="str">
            <v xml:space="preserve">MCB, 10KA, 1P, 125A, C-CURVE </v>
          </cell>
          <cell r="E569">
            <v>87.358400000000003</v>
          </cell>
          <cell r="G569">
            <v>3766</v>
          </cell>
        </row>
        <row r="570">
          <cell r="A570" t="str">
            <v>33-2001008</v>
          </cell>
          <cell r="B570" t="str">
            <v>Fuse, NH1, 125A, 690V, 80kA</v>
          </cell>
          <cell r="E570">
            <v>155.5581</v>
          </cell>
          <cell r="G570">
            <v>311</v>
          </cell>
        </row>
        <row r="571">
          <cell r="A571" t="str">
            <v>33-2001055</v>
          </cell>
          <cell r="B571" t="str">
            <v>Busbar, Insulated, 63A, 2P, 24 Way</v>
          </cell>
          <cell r="E571">
            <v>299.17237999999998</v>
          </cell>
          <cell r="G571">
            <v>20</v>
          </cell>
        </row>
        <row r="572">
          <cell r="A572" t="str">
            <v>33-2001061</v>
          </cell>
          <cell r="B572" t="str">
            <v>Switch, Fireman, 20A, 230V, 2P</v>
          </cell>
          <cell r="E572">
            <v>615</v>
          </cell>
          <cell r="G572">
            <v>0</v>
          </cell>
        </row>
        <row r="573">
          <cell r="A573" t="str">
            <v>33-2001063</v>
          </cell>
          <cell r="B573" t="str">
            <v>MCB, 6kA, 1P, 6A, C-Curve</v>
          </cell>
          <cell r="E573">
            <v>57.56</v>
          </cell>
          <cell r="G573">
            <v>56</v>
          </cell>
        </row>
        <row r="574">
          <cell r="A574" t="str">
            <v>33-2001168</v>
          </cell>
          <cell r="B574" t="str">
            <v xml:space="preserve">MCB, 10kA, 2P, 80A, C-Curve </v>
          </cell>
          <cell r="E574">
            <v>728.14940000000001</v>
          </cell>
          <cell r="G574">
            <v>37</v>
          </cell>
        </row>
        <row r="575">
          <cell r="A575" t="str">
            <v>33-2001169</v>
          </cell>
          <cell r="B575" t="str">
            <v>Busbar, Insulated, 100A, 1P, 24 Way</v>
          </cell>
          <cell r="E575">
            <v>145</v>
          </cell>
          <cell r="G575">
            <v>20</v>
          </cell>
        </row>
        <row r="576">
          <cell r="A576" t="str">
            <v>33-2001170</v>
          </cell>
          <cell r="B576" t="str">
            <v>Busbar, 90A, 25mm2, 7 Way, DIN Mount, Blue</v>
          </cell>
          <cell r="E576">
            <v>38.590000000000003</v>
          </cell>
          <cell r="G576">
            <v>0</v>
          </cell>
        </row>
        <row r="577">
          <cell r="A577" t="str">
            <v>33-2001173</v>
          </cell>
          <cell r="B577" t="str">
            <v>MCB, 6kA, 4P, 63A, C-Curve</v>
          </cell>
          <cell r="E577">
            <v>696.97646999999995</v>
          </cell>
          <cell r="G577">
            <v>176</v>
          </cell>
        </row>
        <row r="578">
          <cell r="A578" t="str">
            <v>33-2001174</v>
          </cell>
          <cell r="B578" t="str">
            <v>Pilot Light, AC, 3P, Phase Indication</v>
          </cell>
          <cell r="E578">
            <v>216.95849999999999</v>
          </cell>
          <cell r="G578">
            <v>189</v>
          </cell>
        </row>
        <row r="579">
          <cell r="A579" t="str">
            <v>33-2001181</v>
          </cell>
          <cell r="B579" t="str">
            <v>Changeover Switch, 4P, 63A, 3 Phase</v>
          </cell>
          <cell r="E579">
            <v>0</v>
          </cell>
          <cell r="G579">
            <v>0</v>
          </cell>
        </row>
        <row r="580">
          <cell r="A580" t="str">
            <v>33-2001182</v>
          </cell>
          <cell r="B580" t="str">
            <v>Power Meter, Relay, 3Phase, RS485, MID, 230V, 100A</v>
          </cell>
          <cell r="E580">
            <v>1036.47154</v>
          </cell>
          <cell r="G580">
            <v>21</v>
          </cell>
        </row>
        <row r="581">
          <cell r="A581" t="str">
            <v>33-2001183</v>
          </cell>
          <cell r="B581" t="str">
            <v>Power Meter, 3 Phase, RS485, MID, 230V, 100A, Bi-directional</v>
          </cell>
          <cell r="E581">
            <v>1037.14885</v>
          </cell>
          <cell r="G581">
            <v>84</v>
          </cell>
        </row>
        <row r="582">
          <cell r="A582" t="str">
            <v>33-2001229</v>
          </cell>
          <cell r="B582" t="str">
            <v>Changeover Switch, 4P, 63A, 3Phase</v>
          </cell>
          <cell r="E582">
            <v>896.47735</v>
          </cell>
          <cell r="G582">
            <v>55</v>
          </cell>
        </row>
        <row r="583">
          <cell r="A583" t="str">
            <v>33-2001230</v>
          </cell>
          <cell r="B583" t="str">
            <v>Changeover Switch, 2P, 80A</v>
          </cell>
          <cell r="E583">
            <v>244.37</v>
          </cell>
          <cell r="G583">
            <v>71</v>
          </cell>
        </row>
        <row r="584">
          <cell r="A584" t="str">
            <v>33-2001234</v>
          </cell>
          <cell r="B584" t="str">
            <v>Power Meter, RS485, MID, 230V, 100A</v>
          </cell>
          <cell r="E584">
            <v>327.14343000000002</v>
          </cell>
          <cell r="G584">
            <v>6</v>
          </cell>
        </row>
        <row r="585">
          <cell r="A585" t="str">
            <v>33-2001235</v>
          </cell>
          <cell r="B585" t="str">
            <v>Power Meter, Relay, RS485, MID, 230V, 100A</v>
          </cell>
          <cell r="E585">
            <v>458.67727000000002</v>
          </cell>
          <cell r="G585">
            <v>0</v>
          </cell>
        </row>
        <row r="586">
          <cell r="A586" t="str">
            <v>33-2001263</v>
          </cell>
          <cell r="B586" t="str">
            <v>Busbar, Insulated, 100A, 2P, 24 Way</v>
          </cell>
          <cell r="E586">
            <v>911.88071000000002</v>
          </cell>
          <cell r="G586">
            <v>14</v>
          </cell>
        </row>
        <row r="587">
          <cell r="A587" t="str">
            <v>33-2001263-06</v>
          </cell>
          <cell r="B587" t="str">
            <v>Busbar, Insulated, 100A, 2P, 24 Way-Cut</v>
          </cell>
          <cell r="E587">
            <v>176.9205</v>
          </cell>
          <cell r="G587">
            <v>0</v>
          </cell>
        </row>
        <row r="588">
          <cell r="A588" t="str">
            <v>33-2001279</v>
          </cell>
          <cell r="B588" t="str">
            <v>0.5A 1P 6kA C-Curve MCB</v>
          </cell>
          <cell r="E588">
            <v>104.41</v>
          </cell>
          <cell r="G588">
            <v>0</v>
          </cell>
        </row>
        <row r="589">
          <cell r="A589" t="str">
            <v>33-2001287</v>
          </cell>
          <cell r="B589" t="str">
            <v>Isolator, 63A, 230-400V, 4P</v>
          </cell>
          <cell r="E589">
            <v>299.58999999999997</v>
          </cell>
          <cell r="G589">
            <v>72</v>
          </cell>
        </row>
        <row r="590">
          <cell r="A590" t="str">
            <v>33-2001469</v>
          </cell>
          <cell r="B590" t="str">
            <v>Busbar, 70A, 16mm2, 6 Way, DIN Mount, Blue</v>
          </cell>
          <cell r="E590">
            <v>25.975999999999999</v>
          </cell>
          <cell r="G590">
            <v>178</v>
          </cell>
        </row>
        <row r="591">
          <cell r="A591" t="str">
            <v>33-2001477</v>
          </cell>
          <cell r="B591" t="str">
            <v>1P FUSE HOLDER 10x38 CYL</v>
          </cell>
          <cell r="E591">
            <v>41.76</v>
          </cell>
          <cell r="G591">
            <v>40</v>
          </cell>
        </row>
        <row r="592">
          <cell r="A592" t="str">
            <v>33-2001478</v>
          </cell>
          <cell r="B592" t="str">
            <v>2A gG 10x38 CYL FUSE LINK</v>
          </cell>
          <cell r="E592">
            <v>0</v>
          </cell>
          <cell r="G592">
            <v>0</v>
          </cell>
        </row>
        <row r="593">
          <cell r="A593" t="str">
            <v>33-2001481</v>
          </cell>
          <cell r="B593" t="str">
            <v>Eastron Meter, SDM630V2MCT</v>
          </cell>
          <cell r="E593">
            <v>1025.34295</v>
          </cell>
          <cell r="G593">
            <v>128</v>
          </cell>
        </row>
        <row r="594">
          <cell r="A594" t="str">
            <v>33-2001491</v>
          </cell>
          <cell r="B594" t="str">
            <v>Busbar, 70A, 16mm2, 6 Way, DIN Mount, Green</v>
          </cell>
          <cell r="E594">
            <v>20.93</v>
          </cell>
          <cell r="G594">
            <v>152</v>
          </cell>
        </row>
        <row r="595">
          <cell r="A595" t="str">
            <v>33-2001547</v>
          </cell>
          <cell r="B595" t="str">
            <v>Busbar, 100A, 25mm2, 6 Way, DIN Mount, Black</v>
          </cell>
          <cell r="E595">
            <v>27.04</v>
          </cell>
          <cell r="G595">
            <v>326</v>
          </cell>
        </row>
        <row r="596">
          <cell r="A596" t="str">
            <v>33-2001562</v>
          </cell>
          <cell r="B596" t="str">
            <v>Fuse, Glass, 1A, 5x20, Slow Blow</v>
          </cell>
          <cell r="E596">
            <v>3</v>
          </cell>
          <cell r="G596">
            <v>177</v>
          </cell>
        </row>
        <row r="597">
          <cell r="A597" t="str">
            <v>33-2001619</v>
          </cell>
          <cell r="B597" t="str">
            <v>Push Button, Non-Latching, Panel Mount, KA Series, Green</v>
          </cell>
          <cell r="E597">
            <v>8.4287399999999995</v>
          </cell>
          <cell r="G597">
            <v>853</v>
          </cell>
        </row>
        <row r="598">
          <cell r="A598" t="str">
            <v>33-2001620</v>
          </cell>
          <cell r="B598" t="str">
            <v>Push Button, Latching, Panel Mount, KA Series, Blue</v>
          </cell>
          <cell r="E598">
            <v>11.641249999999999</v>
          </cell>
          <cell r="G598">
            <v>1344</v>
          </cell>
        </row>
        <row r="599">
          <cell r="A599" t="str">
            <v>33-2001639</v>
          </cell>
          <cell r="B599" t="str">
            <v>Terminal End Plate 2.5-10mm</v>
          </cell>
          <cell r="E599">
            <v>2.65</v>
          </cell>
          <cell r="G599">
            <v>0</v>
          </cell>
        </row>
        <row r="600">
          <cell r="A600" t="str">
            <v>33-2001641</v>
          </cell>
          <cell r="B600" t="str">
            <v>2P 32A 10x38 Fuse Holder</v>
          </cell>
          <cell r="E600">
            <v>75.832579999999993</v>
          </cell>
          <cell r="G600">
            <v>45</v>
          </cell>
        </row>
        <row r="601">
          <cell r="A601" t="str">
            <v>33-2001642</v>
          </cell>
          <cell r="B601" t="str">
            <v>4P 32A 10x38 Fuse Holder</v>
          </cell>
          <cell r="E601">
            <v>152</v>
          </cell>
          <cell r="G601">
            <v>47</v>
          </cell>
        </row>
        <row r="602">
          <cell r="A602" t="str">
            <v>33-2001643</v>
          </cell>
          <cell r="B602" t="str">
            <v>1A 10x38 Cylindrical Fuse Link</v>
          </cell>
          <cell r="E602">
            <v>6.00143</v>
          </cell>
          <cell r="G602">
            <v>94</v>
          </cell>
        </row>
        <row r="603">
          <cell r="A603" t="str">
            <v>33-2001644</v>
          </cell>
          <cell r="B603" t="str">
            <v>Terminal, Rail Mount, 4mm2, Earth</v>
          </cell>
          <cell r="E603">
            <v>0</v>
          </cell>
          <cell r="G603">
            <v>0</v>
          </cell>
        </row>
        <row r="604">
          <cell r="A604" t="str">
            <v>33-2001648</v>
          </cell>
          <cell r="B604" t="str">
            <v>1.5mm2 Rail Mount Terminal</v>
          </cell>
          <cell r="E604">
            <v>9.44</v>
          </cell>
          <cell r="G604">
            <v>0</v>
          </cell>
        </row>
        <row r="605">
          <cell r="A605" t="str">
            <v>33-2001649</v>
          </cell>
          <cell r="B605" t="str">
            <v>Terminal End Stop Screwless</v>
          </cell>
          <cell r="E605">
            <v>9.0500000000000007</v>
          </cell>
          <cell r="G605">
            <v>0</v>
          </cell>
        </row>
        <row r="606">
          <cell r="A606" t="str">
            <v>33-2001650</v>
          </cell>
          <cell r="B606" t="str">
            <v>Terminal End Plate WTP1.5</v>
          </cell>
          <cell r="E606">
            <v>4.43</v>
          </cell>
          <cell r="G606">
            <v>0</v>
          </cell>
        </row>
        <row r="607">
          <cell r="A607" t="str">
            <v>33-2001651</v>
          </cell>
          <cell r="B607" t="str">
            <v>2P Plug-In Bridge Bar for WTP1.5</v>
          </cell>
          <cell r="E607">
            <v>4.4000000000000004</v>
          </cell>
          <cell r="G607">
            <v>12</v>
          </cell>
        </row>
        <row r="608">
          <cell r="A608" t="str">
            <v>33-2001652</v>
          </cell>
          <cell r="B608" t="str">
            <v>4P Plug-In Bridge Bar for WTP1.5</v>
          </cell>
          <cell r="E608">
            <v>12.86154</v>
          </cell>
          <cell r="G608">
            <v>12</v>
          </cell>
        </row>
        <row r="609">
          <cell r="A609" t="str">
            <v>33-2001715</v>
          </cell>
          <cell r="B609" t="str">
            <v>Push Button, Non-Latching, Panel Mount, KA Series, Red</v>
          </cell>
          <cell r="E609">
            <v>9.5326400000000007</v>
          </cell>
          <cell r="G609">
            <v>390</v>
          </cell>
        </row>
        <row r="610">
          <cell r="A610" t="str">
            <v>33-2001716</v>
          </cell>
          <cell r="B610" t="str">
            <v>Switch, Contactor Body, KA Series</v>
          </cell>
          <cell r="E610">
            <v>4.9197300000000004</v>
          </cell>
          <cell r="G610">
            <v>1328</v>
          </cell>
        </row>
        <row r="611">
          <cell r="A611" t="str">
            <v>33-2001717</v>
          </cell>
          <cell r="B611" t="str">
            <v>Switch, Contactor, 2P, NO, KA Series</v>
          </cell>
          <cell r="E611">
            <v>6.06799</v>
          </cell>
          <cell r="G611">
            <v>1226</v>
          </cell>
        </row>
        <row r="612">
          <cell r="A612" t="str">
            <v>33-2001729</v>
          </cell>
          <cell r="B612" t="str">
            <v>MCCB, 40kA, 4P, 80-125A, TMD, X160</v>
          </cell>
          <cell r="E612">
            <v>0</v>
          </cell>
          <cell r="G612">
            <v>0</v>
          </cell>
        </row>
        <row r="613">
          <cell r="A613" t="str">
            <v>33-2001730</v>
          </cell>
          <cell r="B613" t="str">
            <v>MCB, 6kA, 4P, 25A, 1200VDC, K-Curve, Non-Polarized</v>
          </cell>
          <cell r="E613">
            <v>0</v>
          </cell>
          <cell r="G613">
            <v>0</v>
          </cell>
        </row>
        <row r="614">
          <cell r="A614" t="str">
            <v>33-2001779</v>
          </cell>
          <cell r="B614" t="str">
            <v>MCCB, 40kA, 4P, 160-250A, TMD, X250</v>
          </cell>
          <cell r="E614">
            <v>4520</v>
          </cell>
          <cell r="G614">
            <v>3</v>
          </cell>
        </row>
        <row r="615">
          <cell r="A615" t="str">
            <v>33-2001780</v>
          </cell>
          <cell r="B615" t="str">
            <v>MCCB, 50kA, 4P, 252-400A, TMD, X630</v>
          </cell>
          <cell r="E615">
            <v>8050</v>
          </cell>
          <cell r="G615">
            <v>3</v>
          </cell>
        </row>
        <row r="616">
          <cell r="A616" t="str">
            <v>33-2001781</v>
          </cell>
          <cell r="B616" t="str">
            <v>MCCB, 50kA, 4P, 397-630A, TMD, X630</v>
          </cell>
          <cell r="E616">
            <v>9250</v>
          </cell>
          <cell r="G616">
            <v>1</v>
          </cell>
        </row>
        <row r="617">
          <cell r="A617" t="str">
            <v>33-2001782</v>
          </cell>
          <cell r="B617" t="str">
            <v>MCCB, 70kA, 4P, 400-1000A, TMD, H1000</v>
          </cell>
          <cell r="E617">
            <v>0</v>
          </cell>
          <cell r="G617">
            <v>0</v>
          </cell>
        </row>
        <row r="618">
          <cell r="A618" t="str">
            <v>33-2001794</v>
          </cell>
          <cell r="B618" t="str">
            <v>MCB, 6kA, 2P, 6A, C-Curve</v>
          </cell>
          <cell r="E618">
            <v>188.43666999999999</v>
          </cell>
          <cell r="G618">
            <v>5</v>
          </cell>
        </row>
        <row r="619">
          <cell r="A619" t="str">
            <v>33-2001820</v>
          </cell>
          <cell r="B619" t="str">
            <v>Power Meter, Multi Functional, 3 Phase, RS485</v>
          </cell>
          <cell r="E619">
            <v>1369.15625</v>
          </cell>
          <cell r="G619">
            <v>8</v>
          </cell>
        </row>
        <row r="620">
          <cell r="A620" t="str">
            <v>33-2001903</v>
          </cell>
          <cell r="B620" t="str">
            <v>MCCB, Spreader, 4P, 160A, x160</v>
          </cell>
          <cell r="E620">
            <v>0</v>
          </cell>
          <cell r="G620">
            <v>0</v>
          </cell>
        </row>
        <row r="621">
          <cell r="A621" t="str">
            <v>33-2001904</v>
          </cell>
          <cell r="B621" t="str">
            <v>MCCB, Spreader, 4P, 250A, x250</v>
          </cell>
          <cell r="E621">
            <v>0</v>
          </cell>
          <cell r="G621">
            <v>0</v>
          </cell>
        </row>
        <row r="622">
          <cell r="A622" t="str">
            <v>33-2001905</v>
          </cell>
          <cell r="B622" t="str">
            <v>MCCB, Spreader, 4P, 250A, x630</v>
          </cell>
          <cell r="E622">
            <v>0</v>
          </cell>
          <cell r="G622">
            <v>0</v>
          </cell>
        </row>
        <row r="623">
          <cell r="A623" t="str">
            <v>33-2002021</v>
          </cell>
          <cell r="B623" t="str">
            <v>MCB, 6kA, 1P, 3A, C-Curve</v>
          </cell>
          <cell r="E623">
            <v>72.391249999999999</v>
          </cell>
          <cell r="G623">
            <v>3</v>
          </cell>
        </row>
        <row r="624">
          <cell r="A624" t="str">
            <v>33-2002045</v>
          </cell>
          <cell r="B624" t="str">
            <v xml:space="preserve">Auxiliary Contact Block, AF116-AF370, CAL19-11	</v>
          </cell>
          <cell r="E624">
            <v>128.69999999999999</v>
          </cell>
          <cell r="G624">
            <v>25</v>
          </cell>
        </row>
        <row r="625">
          <cell r="A625" t="str">
            <v>33-2002046</v>
          </cell>
          <cell r="B625" t="str">
            <v>Auxiliary Contact Block, CAL16-11B</v>
          </cell>
          <cell r="E625">
            <v>159</v>
          </cell>
          <cell r="G625">
            <v>5</v>
          </cell>
        </row>
        <row r="626">
          <cell r="A626" t="str">
            <v>33-2002047</v>
          </cell>
          <cell r="B626" t="str">
            <v>Contactor, 4 Pole, 230Vac Coil, 205A @ 400Vac</v>
          </cell>
          <cell r="E626">
            <v>8789</v>
          </cell>
          <cell r="G626">
            <v>20</v>
          </cell>
        </row>
        <row r="627">
          <cell r="A627" t="str">
            <v>33-2002048</v>
          </cell>
          <cell r="B627" t="str">
            <v>Contactor, 4 Pole, 230Vac Coil, 370A @ 400Vac</v>
          </cell>
          <cell r="E627">
            <v>12829</v>
          </cell>
          <cell r="G627">
            <v>5</v>
          </cell>
        </row>
        <row r="628">
          <cell r="A628" t="str">
            <v>33-2002049</v>
          </cell>
          <cell r="B628" t="str">
            <v>Contactor, 4 Pole, 230Vac Coil, 800A @ 400Vac</v>
          </cell>
          <cell r="E628">
            <v>23681</v>
          </cell>
          <cell r="G628">
            <v>5</v>
          </cell>
        </row>
        <row r="629">
          <cell r="A629" t="str">
            <v>33-2002100</v>
          </cell>
          <cell r="B629" t="str">
            <v>MCB, 6kA, 4P, 63A, 1200VDC</v>
          </cell>
          <cell r="E629">
            <v>0</v>
          </cell>
          <cell r="G629">
            <v>0</v>
          </cell>
        </row>
        <row r="630">
          <cell r="A630" t="str">
            <v>33-2002123</v>
          </cell>
          <cell r="B630" t="str">
            <v>MCB, 10kA, 2P, 50A, C-Curve</v>
          </cell>
          <cell r="E630">
            <v>340</v>
          </cell>
          <cell r="G630">
            <v>0</v>
          </cell>
        </row>
        <row r="631">
          <cell r="A631" t="str">
            <v>33-2202002</v>
          </cell>
          <cell r="B631" t="str">
            <v>PILOT LIGHT, AC, 1P, RED</v>
          </cell>
          <cell r="E631">
            <v>106.7</v>
          </cell>
          <cell r="G631">
            <v>0</v>
          </cell>
        </row>
        <row r="632">
          <cell r="A632" t="str">
            <v>33-2305100</v>
          </cell>
          <cell r="B632" t="str">
            <v>FUSE NH1 - 200A</v>
          </cell>
          <cell r="E632">
            <v>119.9</v>
          </cell>
          <cell r="G632">
            <v>309</v>
          </cell>
        </row>
        <row r="633">
          <cell r="A633" t="str">
            <v>34-1001527</v>
          </cell>
          <cell r="B633" t="str">
            <v>Solder Butt Connector 0.2-1.7mm Clear</v>
          </cell>
          <cell r="E633">
            <v>67.543819999999997</v>
          </cell>
          <cell r="G633">
            <v>534</v>
          </cell>
        </row>
        <row r="634">
          <cell r="A634" t="str">
            <v>34-2000014</v>
          </cell>
          <cell r="B634" t="str">
            <v>FOAM RUBBER STRIP, ADHESIVE BACKING, 10X3MM</v>
          </cell>
          <cell r="E634">
            <v>3</v>
          </cell>
          <cell r="G634">
            <v>340.99599999999998</v>
          </cell>
        </row>
        <row r="635">
          <cell r="A635" t="str">
            <v>34-2000051</v>
          </cell>
          <cell r="B635" t="str">
            <v>HEAT SHRINK TUBING, 3:1, DIA 19MM</v>
          </cell>
          <cell r="E635">
            <v>234.04</v>
          </cell>
          <cell r="G635">
            <v>241</v>
          </cell>
        </row>
        <row r="636">
          <cell r="A636" t="str">
            <v>34-2000245</v>
          </cell>
          <cell r="B636" t="str">
            <v>HEATSHRINK, 19, 2:1, RED</v>
          </cell>
          <cell r="E636">
            <v>30.486509999999999</v>
          </cell>
          <cell r="G636">
            <v>2255.1</v>
          </cell>
        </row>
        <row r="637">
          <cell r="A637" t="str">
            <v>34-2000246</v>
          </cell>
          <cell r="B637" t="str">
            <v>HEATSHRINK, 19, 2:1, BLACK</v>
          </cell>
          <cell r="E637">
            <v>27.467420000000001</v>
          </cell>
          <cell r="G637">
            <v>237.8</v>
          </cell>
        </row>
        <row r="638">
          <cell r="A638" t="str">
            <v>34-2000247</v>
          </cell>
          <cell r="B638" t="str">
            <v>HEATSHRINK, 9.5, 2:1, RED</v>
          </cell>
          <cell r="E638">
            <v>17.353400000000001</v>
          </cell>
          <cell r="G638">
            <v>0</v>
          </cell>
        </row>
        <row r="639">
          <cell r="A639" t="str">
            <v>34-2000248</v>
          </cell>
          <cell r="B639" t="str">
            <v>HEATSHRINK, 9.5, 2:1, BLACK</v>
          </cell>
          <cell r="E639">
            <v>16.930599999999998</v>
          </cell>
          <cell r="G639">
            <v>140</v>
          </cell>
        </row>
        <row r="640">
          <cell r="A640" t="str">
            <v>34-2000254</v>
          </cell>
          <cell r="B640" t="str">
            <v>HEATSHRINK, 19, 2:1, RED</v>
          </cell>
          <cell r="E640">
            <v>30.632000000000001</v>
          </cell>
          <cell r="G640">
            <v>100</v>
          </cell>
        </row>
        <row r="641">
          <cell r="A641" t="str">
            <v>34-2000352</v>
          </cell>
          <cell r="B641" t="str">
            <v>HEATSHRINK, 9.5, 2:1, GREEN</v>
          </cell>
          <cell r="E641">
            <v>11.75445</v>
          </cell>
          <cell r="G641">
            <v>22.82</v>
          </cell>
        </row>
        <row r="642">
          <cell r="A642" t="str">
            <v>34-2000406</v>
          </cell>
          <cell r="B642" t="str">
            <v>TAPE, INSULATION, RED</v>
          </cell>
          <cell r="E642">
            <v>18</v>
          </cell>
          <cell r="G642">
            <v>2</v>
          </cell>
        </row>
        <row r="643">
          <cell r="A643" t="str">
            <v>34-2000407</v>
          </cell>
          <cell r="B643" t="str">
            <v>TAPE, INSULATION, BLACK</v>
          </cell>
          <cell r="E643">
            <v>3.5787499999999999</v>
          </cell>
          <cell r="G643">
            <v>8</v>
          </cell>
        </row>
        <row r="644">
          <cell r="A644" t="str">
            <v>34-2000558</v>
          </cell>
          <cell r="B644" t="str">
            <v>HEATSHRINK,50.8/25,4, 2:1, BLACK</v>
          </cell>
          <cell r="E644">
            <v>76.427909999999997</v>
          </cell>
          <cell r="G644">
            <v>120.4</v>
          </cell>
        </row>
        <row r="645">
          <cell r="A645" t="str">
            <v>34-2000595</v>
          </cell>
          <cell r="B645" t="str">
            <v>Conduit, PVC, 25mm Dia, white</v>
          </cell>
          <cell r="E645">
            <v>0</v>
          </cell>
          <cell r="G645">
            <v>0</v>
          </cell>
        </row>
        <row r="646">
          <cell r="A646" t="str">
            <v>34-2000597</v>
          </cell>
          <cell r="B646" t="str">
            <v>Conduit, coupling, 25mm Dia, white</v>
          </cell>
          <cell r="E646">
            <v>0</v>
          </cell>
          <cell r="G646">
            <v>0</v>
          </cell>
        </row>
        <row r="647">
          <cell r="A647" t="str">
            <v>34-2000653</v>
          </cell>
          <cell r="B647" t="str">
            <v>HEATSHRINK SGP 12.7/6.4MM BLUE</v>
          </cell>
          <cell r="E647">
            <v>30.37</v>
          </cell>
          <cell r="G647">
            <v>40.6</v>
          </cell>
        </row>
        <row r="648">
          <cell r="A648" t="str">
            <v>34-2000724</v>
          </cell>
          <cell r="B648" t="str">
            <v>HEATSHRINK, DIA 3-1MM, 3:1, BLACK</v>
          </cell>
          <cell r="E648">
            <v>88.55</v>
          </cell>
          <cell r="G648">
            <v>763.2</v>
          </cell>
        </row>
        <row r="649">
          <cell r="A649" t="str">
            <v>34-2000725</v>
          </cell>
          <cell r="B649" t="str">
            <v>HEATSHRINK, DIA 12-4MM, 3:1, BLACK</v>
          </cell>
          <cell r="E649">
            <v>164.27</v>
          </cell>
          <cell r="G649">
            <v>100</v>
          </cell>
        </row>
        <row r="650">
          <cell r="A650" t="str">
            <v>34-2000760</v>
          </cell>
          <cell r="B650" t="str">
            <v>HEAT SHRINK, SOLDER SEAL, 1.5 - 2.5MM</v>
          </cell>
          <cell r="E650">
            <v>2.0074999999999998</v>
          </cell>
          <cell r="G650">
            <v>17702</v>
          </cell>
        </row>
        <row r="651">
          <cell r="A651" t="str">
            <v>34-2000955</v>
          </cell>
          <cell r="B651" t="str">
            <v>Heatshrink, Dia 6mm, 3:1, Black</v>
          </cell>
          <cell r="E651">
            <v>135.16</v>
          </cell>
          <cell r="G651">
            <v>0</v>
          </cell>
        </row>
        <row r="652">
          <cell r="A652" t="str">
            <v>34-2001002</v>
          </cell>
          <cell r="B652" t="str">
            <v>Tape, Filament, 16-18mm</v>
          </cell>
          <cell r="E652">
            <v>0.61645000000000005</v>
          </cell>
          <cell r="G652">
            <v>0</v>
          </cell>
        </row>
        <row r="653">
          <cell r="A653" t="str">
            <v>34-2001102</v>
          </cell>
          <cell r="B653" t="str">
            <v>BATTERY INSULATOR, PULL TAB</v>
          </cell>
          <cell r="E653">
            <v>0.76</v>
          </cell>
          <cell r="G653">
            <v>2571</v>
          </cell>
        </row>
        <row r="654">
          <cell r="A654" t="str">
            <v>34-2001155</v>
          </cell>
          <cell r="B654" t="str">
            <v>Heatshrink, Dia 6.4-3.2mm, 2:1, Green</v>
          </cell>
          <cell r="E654">
            <v>14.55899</v>
          </cell>
          <cell r="G654">
            <v>47</v>
          </cell>
        </row>
        <row r="655">
          <cell r="A655" t="str">
            <v>34-2001156</v>
          </cell>
          <cell r="B655" t="str">
            <v>Heatshrink, Dia 3.2-1.6mm, 2:1, Black</v>
          </cell>
          <cell r="E655">
            <v>7.5457299999999998</v>
          </cell>
          <cell r="G655">
            <v>403</v>
          </cell>
        </row>
        <row r="656">
          <cell r="A656" t="str">
            <v>34-2001157</v>
          </cell>
          <cell r="B656" t="str">
            <v>Heatshrink, Dia 6.4-3.2mm, 2:1, Black</v>
          </cell>
          <cell r="E656">
            <v>6.82355</v>
          </cell>
          <cell r="G656">
            <v>100</v>
          </cell>
        </row>
        <row r="657">
          <cell r="A657" t="str">
            <v>34-2001261</v>
          </cell>
          <cell r="B657" t="str">
            <v>Heatshrink, Dia 12.7-6.4mm, 2:1, Black</v>
          </cell>
          <cell r="E657">
            <v>18.261050000000001</v>
          </cell>
          <cell r="G657">
            <v>0</v>
          </cell>
        </row>
        <row r="658">
          <cell r="A658" t="str">
            <v>34-2001262</v>
          </cell>
          <cell r="B658" t="str">
            <v>Heatshrink, Dia 12.7-6.4mm, 2:1, Red</v>
          </cell>
          <cell r="E658">
            <v>18.852740000000001</v>
          </cell>
          <cell r="G658">
            <v>49</v>
          </cell>
        </row>
        <row r="659">
          <cell r="A659" t="str">
            <v>34-2001348</v>
          </cell>
          <cell r="B659" t="str">
            <v>Heatshrink, Dia 6.4-3.2mm, 2:1, Red</v>
          </cell>
          <cell r="E659">
            <v>9.6232299999999995</v>
          </cell>
          <cell r="G659">
            <v>145.06</v>
          </cell>
        </row>
        <row r="660">
          <cell r="A660" t="str">
            <v>34-2001421</v>
          </cell>
          <cell r="B660" t="str">
            <v>Heatshrink, 9.5, 2:1, Blue</v>
          </cell>
          <cell r="E660">
            <v>16.524840000000001</v>
          </cell>
          <cell r="G660">
            <v>39</v>
          </cell>
        </row>
        <row r="661">
          <cell r="A661" t="str">
            <v>34-2001422</v>
          </cell>
          <cell r="B661" t="str">
            <v>Heatshrink, Dia 9,5-4,7mm 2:1, White</v>
          </cell>
          <cell r="E661">
            <v>16.008769999999998</v>
          </cell>
          <cell r="G661">
            <v>42</v>
          </cell>
        </row>
        <row r="662">
          <cell r="A662" t="str">
            <v>34-2001466</v>
          </cell>
          <cell r="B662" t="str">
            <v>Heatshrink, Dia 12.7-6.4mm, White</v>
          </cell>
          <cell r="E662">
            <v>19.728570000000001</v>
          </cell>
          <cell r="G662">
            <v>2</v>
          </cell>
        </row>
        <row r="663">
          <cell r="A663" t="str">
            <v>34-2001517</v>
          </cell>
          <cell r="B663" t="str">
            <v>Heatshrink, Dia 12.7-6.4mm, 2:1, Green</v>
          </cell>
          <cell r="E663">
            <v>20.585699999999999</v>
          </cell>
          <cell r="G663">
            <v>79</v>
          </cell>
        </row>
        <row r="664">
          <cell r="A664" t="str">
            <v>34-2001527</v>
          </cell>
          <cell r="B664" t="str">
            <v>Solder Butt Connector 0.2-1.7mm Clear</v>
          </cell>
          <cell r="E664">
            <v>0</v>
          </cell>
          <cell r="G664">
            <v>0</v>
          </cell>
        </row>
        <row r="665">
          <cell r="A665" t="str">
            <v>34-2001647</v>
          </cell>
          <cell r="B665" t="str">
            <v>Sprague, PVC, 25mm2, Black</v>
          </cell>
          <cell r="E665">
            <v>0</v>
          </cell>
          <cell r="G665">
            <v>0</v>
          </cell>
        </row>
        <row r="666">
          <cell r="A666" t="str">
            <v>34-2001788</v>
          </cell>
          <cell r="B666" t="str">
            <v>Heatshrink, Dia 19-9.5mm, Green</v>
          </cell>
          <cell r="E666">
            <v>36</v>
          </cell>
          <cell r="G666">
            <v>28.6</v>
          </cell>
        </row>
        <row r="667">
          <cell r="A667" t="str">
            <v>34-2001789</v>
          </cell>
          <cell r="B667" t="str">
            <v>Heatshrink, Dia 19-9.5mm, White</v>
          </cell>
          <cell r="E667">
            <v>36</v>
          </cell>
          <cell r="G667">
            <v>28.6</v>
          </cell>
        </row>
        <row r="668">
          <cell r="A668" t="str">
            <v>34-2001958</v>
          </cell>
          <cell r="B668" t="str">
            <v>Heatshrink, Dia 2.5-1.25, Black</v>
          </cell>
          <cell r="E668">
            <v>0</v>
          </cell>
          <cell r="G668">
            <v>0</v>
          </cell>
        </row>
        <row r="669">
          <cell r="A669" t="str">
            <v>34-2001960</v>
          </cell>
          <cell r="B669" t="str">
            <v>Braided Sleeving, Megamide, 3mm ID, Black</v>
          </cell>
          <cell r="E669">
            <v>0</v>
          </cell>
          <cell r="G669">
            <v>0</v>
          </cell>
        </row>
        <row r="670">
          <cell r="A670" t="str">
            <v>34-2001961</v>
          </cell>
          <cell r="B670" t="str">
            <v>Heatshrink, Dia 6-2, Adhesive lined, Black</v>
          </cell>
          <cell r="E670">
            <v>0</v>
          </cell>
          <cell r="G670">
            <v>0</v>
          </cell>
        </row>
        <row r="671">
          <cell r="A671" t="str">
            <v>34-2002033</v>
          </cell>
          <cell r="B671" t="str">
            <v>Heatshrink, Dia 12.7-6.4mm, Blue</v>
          </cell>
          <cell r="E671">
            <v>20.100000000000001</v>
          </cell>
          <cell r="G671">
            <v>0</v>
          </cell>
        </row>
        <row r="672">
          <cell r="A672" t="str">
            <v>37-1000048-01</v>
          </cell>
          <cell r="B672" t="str">
            <v>CABLE ASSY, PERMOPOWER, 50MM2, RING-RING, RED</v>
          </cell>
          <cell r="E672">
            <v>0</v>
          </cell>
          <cell r="G672">
            <v>0</v>
          </cell>
        </row>
        <row r="673">
          <cell r="A673" t="str">
            <v>37-1000048-02</v>
          </cell>
          <cell r="B673" t="str">
            <v>CABLE ASSY, PERMOPOWER, 50MM2, RING-RING, RED</v>
          </cell>
          <cell r="E673">
            <v>0</v>
          </cell>
          <cell r="G673">
            <v>0</v>
          </cell>
        </row>
        <row r="674">
          <cell r="A674" t="str">
            <v>37-1000048-260</v>
          </cell>
          <cell r="B674" t="str">
            <v>CABLE ASSY, PERMOPOWER, 50MM2, RING-RING, RED, 260mm</v>
          </cell>
          <cell r="E674">
            <v>70.299229999999994</v>
          </cell>
          <cell r="G674">
            <v>418</v>
          </cell>
        </row>
        <row r="675">
          <cell r="A675" t="str">
            <v>37-1000048-330</v>
          </cell>
          <cell r="B675" t="str">
            <v>CABLE ASSY, PERMOPOWER, 50MM2, RING-RING, RED, 330mm</v>
          </cell>
          <cell r="E675">
            <v>75.331720000000004</v>
          </cell>
          <cell r="G675">
            <v>154</v>
          </cell>
        </row>
        <row r="676">
          <cell r="A676" t="str">
            <v>37-1000048-350</v>
          </cell>
          <cell r="B676" t="str">
            <v>Cable Assy, Permopower, 50mm2, Ring-Ring, Red</v>
          </cell>
          <cell r="E676">
            <v>79.94</v>
          </cell>
          <cell r="G676">
            <v>0</v>
          </cell>
        </row>
        <row r="677">
          <cell r="A677" t="str">
            <v>37-1000048-370</v>
          </cell>
          <cell r="B677" t="str">
            <v>Cable Assy, Permopower, 50mm2, Ring-Ring, Red</v>
          </cell>
          <cell r="E677">
            <v>70.166309999999996</v>
          </cell>
          <cell r="G677">
            <v>222</v>
          </cell>
        </row>
        <row r="678">
          <cell r="A678" t="str">
            <v>37-1000048-400</v>
          </cell>
          <cell r="B678" t="str">
            <v>Cable Assy, Permopower, 50mm2, Ring-Ring, Red</v>
          </cell>
          <cell r="E678">
            <v>97.445999999999998</v>
          </cell>
          <cell r="G678">
            <v>0</v>
          </cell>
        </row>
        <row r="679">
          <cell r="A679" t="str">
            <v>37-1000048-500</v>
          </cell>
          <cell r="B679" t="str">
            <v>Cable Assy, Permopower, 50mm2, Ring-Ring, Red</v>
          </cell>
          <cell r="E679">
            <v>91.287970000000001</v>
          </cell>
          <cell r="G679">
            <v>162</v>
          </cell>
        </row>
        <row r="680">
          <cell r="A680" t="str">
            <v>37-1000048-600</v>
          </cell>
          <cell r="B680" t="str">
            <v>Cable Assy, Permopower, 50mm2, Ring-Ring, Red</v>
          </cell>
          <cell r="E680">
            <v>0</v>
          </cell>
          <cell r="G680">
            <v>0</v>
          </cell>
        </row>
        <row r="681">
          <cell r="A681" t="str">
            <v>37-1000251-130</v>
          </cell>
          <cell r="B681" t="str">
            <v>CABLE ASSY, PERMOPOWER, 16MM2, RING-RING, RED</v>
          </cell>
          <cell r="E681">
            <v>41.047330000000002</v>
          </cell>
          <cell r="G681">
            <v>1381</v>
          </cell>
        </row>
        <row r="682">
          <cell r="A682" t="str">
            <v>37-1000251-380</v>
          </cell>
          <cell r="B682" t="str">
            <v>CABLE ASSY, PERMOPOWER, 16MM2, RING-RING, RED</v>
          </cell>
          <cell r="E682">
            <v>52.431249999999999</v>
          </cell>
          <cell r="G682">
            <v>1265</v>
          </cell>
        </row>
        <row r="683">
          <cell r="A683" t="str">
            <v>37-1000253-300</v>
          </cell>
          <cell r="B683" t="str">
            <v>CABLE ASSY, MC2 - TAMP SWITCH</v>
          </cell>
          <cell r="E683">
            <v>37.6</v>
          </cell>
          <cell r="G683">
            <v>1476</v>
          </cell>
        </row>
        <row r="684">
          <cell r="A684" t="str">
            <v>37-1000254-01</v>
          </cell>
          <cell r="B684" t="str">
            <v>CABLE ASSY, MC3 - FER3</v>
          </cell>
          <cell r="E684">
            <v>26.8</v>
          </cell>
          <cell r="G684">
            <v>0</v>
          </cell>
        </row>
        <row r="685">
          <cell r="A685" t="str">
            <v>37-1000254-500</v>
          </cell>
          <cell r="B685" t="str">
            <v>CABLE ASSY, MC3_TO_FER3</v>
          </cell>
          <cell r="E685">
            <v>0</v>
          </cell>
          <cell r="G685">
            <v>0</v>
          </cell>
        </row>
        <row r="686">
          <cell r="A686" t="str">
            <v>37-1000255</v>
          </cell>
          <cell r="B686" t="str">
            <v xml:space="preserve">Cable Assy, MC4 - JST4A </v>
          </cell>
          <cell r="E686">
            <v>19.327999999999999</v>
          </cell>
          <cell r="G686">
            <v>849</v>
          </cell>
        </row>
        <row r="687">
          <cell r="A687" t="str">
            <v>37-1000255-01</v>
          </cell>
          <cell r="B687" t="str">
            <v>CABLE ASSY, MC4 - JST4A</v>
          </cell>
          <cell r="E687">
            <v>25.5</v>
          </cell>
          <cell r="G687">
            <v>0</v>
          </cell>
        </row>
        <row r="688">
          <cell r="A688" t="str">
            <v>37-1000255-02</v>
          </cell>
          <cell r="B688" t="str">
            <v>CABLE ASSY, MC4 - JST4A</v>
          </cell>
          <cell r="E688">
            <v>0</v>
          </cell>
          <cell r="G688">
            <v>0</v>
          </cell>
        </row>
        <row r="689">
          <cell r="A689" t="str">
            <v>37-1000256-01</v>
          </cell>
          <cell r="B689" t="str">
            <v>CABLE ASSY, MC4 - RJ45</v>
          </cell>
          <cell r="E689">
            <v>34.9</v>
          </cell>
          <cell r="G689">
            <v>0</v>
          </cell>
        </row>
        <row r="690">
          <cell r="A690" t="str">
            <v>37-1000256-1200</v>
          </cell>
          <cell r="B690" t="str">
            <v>CABLE ASSY, MC4-RJ45</v>
          </cell>
          <cell r="E690">
            <v>36.598689999999998</v>
          </cell>
          <cell r="G690">
            <v>1973</v>
          </cell>
        </row>
        <row r="691">
          <cell r="A691" t="str">
            <v>37-1000256-500</v>
          </cell>
          <cell r="B691" t="str">
            <v>CABLE ASSY, MC4_TO_RJ45</v>
          </cell>
          <cell r="E691">
            <v>37.049999999999997</v>
          </cell>
          <cell r="G691">
            <v>56</v>
          </cell>
        </row>
        <row r="692">
          <cell r="A692" t="str">
            <v>37-1000257-01</v>
          </cell>
          <cell r="B692" t="str">
            <v>CABLE ASSY, RJ45 - FER4</v>
          </cell>
          <cell r="E692">
            <v>0</v>
          </cell>
          <cell r="G692">
            <v>0</v>
          </cell>
        </row>
        <row r="693">
          <cell r="A693" t="str">
            <v>37-1000257-500</v>
          </cell>
          <cell r="B693" t="str">
            <v>CABLE ASSY, CAT5E, RJ45-LIMIT-TINNED, 500mm</v>
          </cell>
          <cell r="E693">
            <v>30.04</v>
          </cell>
          <cell r="G693">
            <v>0</v>
          </cell>
        </row>
        <row r="694">
          <cell r="A694" t="str">
            <v>37-1000296-01</v>
          </cell>
          <cell r="B694" t="str">
            <v>CABLE ASSY, PERMOPOWER, 16MM2, RING, RING, RED</v>
          </cell>
          <cell r="E694">
            <v>11.4335</v>
          </cell>
          <cell r="G694">
            <v>0</v>
          </cell>
        </row>
        <row r="695">
          <cell r="A695" t="str">
            <v>37-1000296-02</v>
          </cell>
          <cell r="B695" t="str">
            <v>CABLE ASSY, PERMOPOWER, 16MM2, RING, RING, RED</v>
          </cell>
          <cell r="E695">
            <v>0</v>
          </cell>
          <cell r="G695">
            <v>0</v>
          </cell>
        </row>
        <row r="696">
          <cell r="A696" t="str">
            <v>37-1000296-03</v>
          </cell>
          <cell r="B696" t="str">
            <v>CABLE ASSY, PERMOPOWER, 16MM2, RING, RING, RED</v>
          </cell>
          <cell r="E696">
            <v>23.962669999999999</v>
          </cell>
          <cell r="G696">
            <v>0</v>
          </cell>
        </row>
        <row r="697">
          <cell r="A697" t="str">
            <v>37-1000296-130</v>
          </cell>
          <cell r="B697" t="str">
            <v>CABLE ASSY, PERMOPOWER, 16MM2, RING-RING, RED, 130mm</v>
          </cell>
          <cell r="E697">
            <v>38.406669999999998</v>
          </cell>
          <cell r="G697">
            <v>18</v>
          </cell>
        </row>
        <row r="698">
          <cell r="A698" t="str">
            <v>37-1000296-260</v>
          </cell>
          <cell r="B698" t="str">
            <v>CABLE ASSY, PERMOPOWER, 16MM2, RING, RING, RED</v>
          </cell>
          <cell r="E698">
            <v>44.682070000000003</v>
          </cell>
          <cell r="G698">
            <v>58</v>
          </cell>
        </row>
        <row r="699">
          <cell r="A699" t="str">
            <v>37-1000296-350</v>
          </cell>
          <cell r="B699" t="str">
            <v>CABLE ASSY, PERMOPOWER, 16MM2, RING-RING, RED, 350mm</v>
          </cell>
          <cell r="E699">
            <v>45.885860000000001</v>
          </cell>
          <cell r="G699">
            <v>275</v>
          </cell>
        </row>
        <row r="700">
          <cell r="A700" t="str">
            <v>37-1000305-01</v>
          </cell>
          <cell r="B700" t="str">
            <v>CABLE ASSY, PERMOPOWER, 16MM2, RING, RING, BLACK</v>
          </cell>
          <cell r="E700">
            <v>41.367330000000003</v>
          </cell>
          <cell r="G700">
            <v>0</v>
          </cell>
        </row>
        <row r="701">
          <cell r="A701" t="str">
            <v>37-1000305-02</v>
          </cell>
          <cell r="B701" t="str">
            <v>CABLE ASSY, PERMOPOWER, 16MM2, RING, RING, BLACK</v>
          </cell>
          <cell r="E701">
            <v>0</v>
          </cell>
          <cell r="G701">
            <v>0</v>
          </cell>
        </row>
        <row r="702">
          <cell r="A702" t="str">
            <v>37-1000305-140</v>
          </cell>
          <cell r="B702" t="str">
            <v>CABLE ASSY, PERMOPOWER, 16MM2, RING, RING, BLACK</v>
          </cell>
          <cell r="E702">
            <v>21.21921</v>
          </cell>
          <cell r="G702">
            <v>140</v>
          </cell>
        </row>
        <row r="703">
          <cell r="A703" t="str">
            <v>37-1000305-215</v>
          </cell>
          <cell r="B703" t="str">
            <v>CABLE ASSY, PERMOPOWER, 16MM2, RING, RING, BLACK, 215mm</v>
          </cell>
          <cell r="E703">
            <v>41.319229999999997</v>
          </cell>
          <cell r="G703">
            <v>13</v>
          </cell>
        </row>
        <row r="704">
          <cell r="A704" t="str">
            <v>37-1000305-220</v>
          </cell>
          <cell r="B704" t="str">
            <v>CABLE ASSY, PERMOPOWER, 16MM2, RING, RING, BLACK</v>
          </cell>
          <cell r="E704">
            <v>21.878</v>
          </cell>
          <cell r="G704">
            <v>366</v>
          </cell>
        </row>
        <row r="705">
          <cell r="A705" t="str">
            <v>37-1000306-01</v>
          </cell>
          <cell r="B705" t="str">
            <v>CABLE ASSY, PERMOPOWER, 35MM2, RING-RING, RED</v>
          </cell>
          <cell r="E705">
            <v>0</v>
          </cell>
          <cell r="G705">
            <v>0</v>
          </cell>
        </row>
        <row r="706">
          <cell r="A706" t="str">
            <v>37-1000306-02</v>
          </cell>
          <cell r="B706" t="str">
            <v>CABLE ASSY, PERMOPOWER, 35MM2, RING, RING, RED</v>
          </cell>
          <cell r="E706">
            <v>0</v>
          </cell>
          <cell r="G706">
            <v>0</v>
          </cell>
        </row>
        <row r="707">
          <cell r="A707" t="str">
            <v>37-1000306-120</v>
          </cell>
          <cell r="B707" t="str">
            <v>CABLE ASSY, PERMOPOWER, 35MM2, RING-RING, RED, 120mm</v>
          </cell>
          <cell r="E707">
            <v>46.91769</v>
          </cell>
          <cell r="G707">
            <v>91</v>
          </cell>
        </row>
        <row r="708">
          <cell r="A708" t="str">
            <v>37-1000306-780</v>
          </cell>
          <cell r="B708" t="str">
            <v>Cable Assy, Permopower, 35mm2, Ring, Ring, Red</v>
          </cell>
          <cell r="E708">
            <v>56.424439999999997</v>
          </cell>
          <cell r="G708">
            <v>135</v>
          </cell>
        </row>
        <row r="709">
          <cell r="A709" t="str">
            <v>37-1000307-01</v>
          </cell>
          <cell r="B709" t="str">
            <v>CABLE ASSY, PERMOPOWER, 35MM2, RING, PLUG, RED</v>
          </cell>
          <cell r="E709">
            <v>0</v>
          </cell>
          <cell r="G709">
            <v>0</v>
          </cell>
        </row>
        <row r="710">
          <cell r="A710" t="str">
            <v>37-1000307-02</v>
          </cell>
          <cell r="B710" t="str">
            <v>CABLE ASSY, PERMOPOWER, 35MM2, RING-PLUG, RED</v>
          </cell>
          <cell r="E710">
            <v>0</v>
          </cell>
          <cell r="G710">
            <v>0</v>
          </cell>
        </row>
        <row r="711">
          <cell r="A711" t="str">
            <v>37-1000307-460</v>
          </cell>
          <cell r="B711" t="str">
            <v>CABLE ASSY, PERMOPOWER, 35MM2, RING, PLUG, RED</v>
          </cell>
          <cell r="E711">
            <v>201.37929</v>
          </cell>
          <cell r="G711">
            <v>211</v>
          </cell>
        </row>
        <row r="712">
          <cell r="A712" t="str">
            <v>37-1000307-780</v>
          </cell>
          <cell r="B712" t="str">
            <v>CABLE ASSY, PERMOPOWER, 35MM2, RING-PLUG, RED, 780MM</v>
          </cell>
          <cell r="E712">
            <v>209.99369999999999</v>
          </cell>
          <cell r="G712">
            <v>107</v>
          </cell>
        </row>
        <row r="713">
          <cell r="A713" t="str">
            <v>37-1000308-01</v>
          </cell>
          <cell r="B713" t="str">
            <v>CABLE ASSY, PERMOPOWER, 35MM2, RING, PLUG, BLACK</v>
          </cell>
          <cell r="E713">
            <v>0</v>
          </cell>
          <cell r="G713">
            <v>0</v>
          </cell>
        </row>
        <row r="714">
          <cell r="A714" t="str">
            <v>37-1000308-02</v>
          </cell>
          <cell r="B714" t="str">
            <v>CABLE ASSY, PERMOPOWER, 35MM2, RING-PLUG, BLACK</v>
          </cell>
          <cell r="E714">
            <v>0</v>
          </cell>
          <cell r="G714">
            <v>0</v>
          </cell>
        </row>
        <row r="715">
          <cell r="A715" t="str">
            <v>37-1000308-300</v>
          </cell>
          <cell r="B715" t="str">
            <v>CABLE ASSY, PERMOPOWER, 35MM2, RING, PLUG, BLACK</v>
          </cell>
          <cell r="E715">
            <v>198.8229</v>
          </cell>
          <cell r="G715">
            <v>473</v>
          </cell>
        </row>
        <row r="716">
          <cell r="A716" t="str">
            <v>37-1000308-630</v>
          </cell>
          <cell r="B716" t="str">
            <v>CABLE ASSY, PERMOPOWER, 35MM2, RING-PLUG, BLACK, 630mm</v>
          </cell>
          <cell r="E716">
            <v>190.30607000000001</v>
          </cell>
          <cell r="G716">
            <v>127</v>
          </cell>
        </row>
        <row r="717">
          <cell r="A717" t="str">
            <v>37-1000310-01</v>
          </cell>
          <cell r="B717" t="str">
            <v>Cable, Assy, Permopower, 50mm2, Ring-Ring, Black</v>
          </cell>
          <cell r="E717">
            <v>0</v>
          </cell>
          <cell r="G717">
            <v>0</v>
          </cell>
        </row>
        <row r="718">
          <cell r="A718" t="str">
            <v>37-1000310-1800</v>
          </cell>
          <cell r="B718" t="str">
            <v>Cable, Assy, Permopower, 50mm2, Ring-Ring, Black</v>
          </cell>
          <cell r="E718">
            <v>0</v>
          </cell>
          <cell r="G718">
            <v>0</v>
          </cell>
        </row>
        <row r="719">
          <cell r="A719" t="str">
            <v>37-1000310-250</v>
          </cell>
          <cell r="B719" t="str">
            <v>Cable Assy, Permopower, 50mm2, Ring-Ring, Black</v>
          </cell>
          <cell r="E719">
            <v>78.62</v>
          </cell>
          <cell r="G719">
            <v>23</v>
          </cell>
        </row>
        <row r="720">
          <cell r="A720" t="str">
            <v>37-1000310-300</v>
          </cell>
          <cell r="B720" t="str">
            <v>CABLE ASSY, PERMOPOWER, 50MM2, RING-RING, BLACK</v>
          </cell>
          <cell r="E720">
            <v>85.73</v>
          </cell>
          <cell r="G720">
            <v>0</v>
          </cell>
        </row>
        <row r="721">
          <cell r="A721" t="str">
            <v>37-1000310-350</v>
          </cell>
          <cell r="B721" t="str">
            <v>Cable Assy, Permopower, 50mm2, Ring-Ring, Black</v>
          </cell>
          <cell r="E721">
            <v>81.642849999999996</v>
          </cell>
          <cell r="G721">
            <v>157</v>
          </cell>
        </row>
        <row r="722">
          <cell r="A722" t="str">
            <v>37-1000310-450</v>
          </cell>
          <cell r="B722" t="str">
            <v>Cable Assy, Permopower, 50mm2, Ring-Ring, Black</v>
          </cell>
          <cell r="E722">
            <v>0</v>
          </cell>
          <cell r="G722">
            <v>0</v>
          </cell>
        </row>
        <row r="723">
          <cell r="A723" t="str">
            <v>37-1000310-520</v>
          </cell>
          <cell r="B723" t="str">
            <v>CABLE ASSY, PERMOPOWER, 50MM2, RING-RING, BLACK, 520mm</v>
          </cell>
          <cell r="E723">
            <v>113.60279</v>
          </cell>
          <cell r="G723">
            <v>111</v>
          </cell>
        </row>
        <row r="724">
          <cell r="A724" t="str">
            <v>37-1000310-530</v>
          </cell>
          <cell r="B724" t="str">
            <v>Cable Assy, Permopower, 50mm2, Ring-Ring, Black</v>
          </cell>
          <cell r="E724">
            <v>0</v>
          </cell>
          <cell r="G724">
            <v>0</v>
          </cell>
        </row>
        <row r="725">
          <cell r="A725" t="str">
            <v>37-1000310-550</v>
          </cell>
          <cell r="B725" t="str">
            <v>Cable Assy, Permopower, 50mm2, Ring-Ring, Black</v>
          </cell>
          <cell r="E725">
            <v>92.779600000000002</v>
          </cell>
          <cell r="G725">
            <v>50</v>
          </cell>
        </row>
        <row r="726">
          <cell r="A726" t="str">
            <v>37-1000311-01</v>
          </cell>
          <cell r="B726" t="str">
            <v>CABLE ASSY, PERMOPOWER, 70MM2, RING-RING, BLACK</v>
          </cell>
          <cell r="E726">
            <v>0</v>
          </cell>
          <cell r="G726">
            <v>0</v>
          </cell>
        </row>
        <row r="727">
          <cell r="A727" t="str">
            <v>37-1000311-02</v>
          </cell>
          <cell r="B727" t="str">
            <v>CABLE ASSY, PERMOPOWER, 70MM2, RING-RING, BLACK</v>
          </cell>
          <cell r="E727">
            <v>0</v>
          </cell>
          <cell r="G727">
            <v>0</v>
          </cell>
        </row>
        <row r="728">
          <cell r="A728" t="str">
            <v>37-1000311-350</v>
          </cell>
          <cell r="B728" t="str">
            <v>CABLE ASSY, PERMOPOWER, 70MM2, RING-RING, BLACK, 350mm</v>
          </cell>
          <cell r="E728">
            <v>113.6146</v>
          </cell>
          <cell r="G728">
            <v>75</v>
          </cell>
        </row>
        <row r="729">
          <cell r="A729" t="str">
            <v>37-1000311-480</v>
          </cell>
          <cell r="B729" t="str">
            <v>CABLE ASSY, PERMOPOWER, 70MM2, RING-RING, BLACK, 480mm</v>
          </cell>
          <cell r="E729">
            <v>127.9318</v>
          </cell>
          <cell r="G729">
            <v>61</v>
          </cell>
        </row>
        <row r="730">
          <cell r="A730" t="str">
            <v>37-1000312-1000</v>
          </cell>
          <cell r="B730" t="str">
            <v>CABLE ASSY, PERMOPOWER, 70MM2, PLUG-PLUG, BLACK, 1000mm</v>
          </cell>
          <cell r="E730">
            <v>497.69749999999999</v>
          </cell>
          <cell r="G730">
            <v>0</v>
          </cell>
        </row>
        <row r="731">
          <cell r="A731" t="str">
            <v>37-1000312-2000</v>
          </cell>
          <cell r="B731" t="str">
            <v>CABLE ASSY, PERMOPOWER, 70MM2, PLUG-PLUG, BLACK, 2000mm</v>
          </cell>
          <cell r="E731">
            <v>746.09406999999999</v>
          </cell>
          <cell r="G731">
            <v>28</v>
          </cell>
        </row>
        <row r="732">
          <cell r="A732" t="str">
            <v>37-1000313-01</v>
          </cell>
          <cell r="B732" t="str">
            <v>CABLE ASSY, PERMOPOWER, 70MM2, RING-RING, RED</v>
          </cell>
          <cell r="E732">
            <v>0</v>
          </cell>
          <cell r="G732">
            <v>0</v>
          </cell>
        </row>
        <row r="733">
          <cell r="A733" t="str">
            <v>37-1000313-02</v>
          </cell>
          <cell r="B733" t="str">
            <v>CABLE ASSY, PERMOPOWER, 70MM2, RING-RING, RED</v>
          </cell>
          <cell r="E733">
            <v>0</v>
          </cell>
          <cell r="G733">
            <v>0</v>
          </cell>
        </row>
        <row r="734">
          <cell r="A734" t="str">
            <v>37-1000313-220</v>
          </cell>
          <cell r="B734" t="str">
            <v>CABLE ASSY, PERMOPOWER, 70MM2, RING-RING, RED,220mm</v>
          </cell>
          <cell r="E734">
            <v>147.55000000000001</v>
          </cell>
          <cell r="G734">
            <v>12</v>
          </cell>
        </row>
        <row r="735">
          <cell r="A735" t="str">
            <v>37-1000313-350</v>
          </cell>
          <cell r="B735" t="str">
            <v>CABLE ASSY, PERMOPOWER, 70MM2, RING-RING, RED, 350mm</v>
          </cell>
          <cell r="E735">
            <v>110.47342</v>
          </cell>
          <cell r="G735">
            <v>130</v>
          </cell>
        </row>
        <row r="736">
          <cell r="A736" t="str">
            <v>37-1000314-1000</v>
          </cell>
          <cell r="B736" t="str">
            <v>CABLE ASSY, PERMOPOWER, 70MM2, PLUG-PLUG, RED, 1000mm</v>
          </cell>
          <cell r="E736">
            <v>496.565</v>
          </cell>
          <cell r="G736">
            <v>0</v>
          </cell>
        </row>
        <row r="737">
          <cell r="A737" t="str">
            <v>37-1000314-2000</v>
          </cell>
          <cell r="B737" t="str">
            <v>CABLE ASSY, PERMOPOWER, 70MM2, PLUG-PLUG, RED, 2000mm</v>
          </cell>
          <cell r="E737">
            <v>742.26153999999997</v>
          </cell>
          <cell r="G737">
            <v>49</v>
          </cell>
        </row>
        <row r="738">
          <cell r="A738" t="str">
            <v>37-1000326-01</v>
          </cell>
          <cell r="B738" t="str">
            <v>CABLE ASSY, HOUSEWIRE, 2.5MM2, BLACK</v>
          </cell>
          <cell r="E738">
            <v>0</v>
          </cell>
          <cell r="G738">
            <v>0</v>
          </cell>
        </row>
        <row r="739">
          <cell r="A739" t="str">
            <v>37-1000326-02</v>
          </cell>
          <cell r="B739" t="str">
            <v>CABLE ASSY, HOUSEWIRE, 2.5MM2, BLACK</v>
          </cell>
          <cell r="E739">
            <v>0</v>
          </cell>
          <cell r="G739">
            <v>0</v>
          </cell>
        </row>
        <row r="740">
          <cell r="A740" t="str">
            <v>37-1000326-04</v>
          </cell>
          <cell r="B740" t="str">
            <v>CABLE ASSY, HOUSEWIRE, 2.5MM2, BLACK</v>
          </cell>
          <cell r="E740">
            <v>0</v>
          </cell>
          <cell r="G740">
            <v>0</v>
          </cell>
        </row>
        <row r="741">
          <cell r="A741" t="str">
            <v>37-1000326-100</v>
          </cell>
          <cell r="B741" t="str">
            <v>CABLE ASSY, HOUSEWIRE, 2.5MM2, BLACK, 100mm</v>
          </cell>
          <cell r="E741">
            <v>3.3372600000000001</v>
          </cell>
          <cell r="G741">
            <v>441</v>
          </cell>
        </row>
        <row r="742">
          <cell r="A742" t="str">
            <v>37-1000326-350</v>
          </cell>
          <cell r="B742" t="str">
            <v>CABLE ASSY, HOUSEWIRE, 2.5MM2, BLACK, 350mm</v>
          </cell>
          <cell r="E742">
            <v>4.8886000000000003</v>
          </cell>
          <cell r="G742">
            <v>504</v>
          </cell>
        </row>
        <row r="743">
          <cell r="A743" t="str">
            <v>37-1000326-80</v>
          </cell>
          <cell r="B743" t="str">
            <v>CABLE ASSY, HOUSEWIRE, 2.5MM2, BLACK</v>
          </cell>
          <cell r="E743">
            <v>0</v>
          </cell>
          <cell r="G743">
            <v>0</v>
          </cell>
        </row>
        <row r="744">
          <cell r="A744" t="str">
            <v>37-1000327-01</v>
          </cell>
          <cell r="B744" t="str">
            <v>CABLE ASSY, HOUSEWIRE, 2.5MM2, RED</v>
          </cell>
          <cell r="E744">
            <v>0</v>
          </cell>
          <cell r="G744">
            <v>0</v>
          </cell>
        </row>
        <row r="745">
          <cell r="A745" t="str">
            <v>37-1000327-02</v>
          </cell>
          <cell r="B745" t="str">
            <v>CABLE ASSY, HOUSEWIRE, 2.5MM2, RED</v>
          </cell>
          <cell r="E745">
            <v>0</v>
          </cell>
          <cell r="G745">
            <v>0</v>
          </cell>
        </row>
        <row r="746">
          <cell r="A746" t="str">
            <v>37-1000327-100</v>
          </cell>
          <cell r="B746" t="str">
            <v>CABLE ASSY, HOUSEWIRE, 2.5MM2, RED, 100mm</v>
          </cell>
          <cell r="E746">
            <v>3.5228899999999999</v>
          </cell>
          <cell r="G746">
            <v>465</v>
          </cell>
        </row>
        <row r="747">
          <cell r="A747" t="str">
            <v>37-1000327-80</v>
          </cell>
          <cell r="B747" t="str">
            <v>CABLE ASSY, HOUSEWIRE, 2.5MM2, RED</v>
          </cell>
          <cell r="E747">
            <v>0</v>
          </cell>
          <cell r="G747">
            <v>0</v>
          </cell>
        </row>
        <row r="748">
          <cell r="A748" t="str">
            <v>37-1000328-01</v>
          </cell>
          <cell r="B748" t="str">
            <v>CABLE ASSY, HOUSEWIRE, 4MM2, BLACK</v>
          </cell>
          <cell r="E748">
            <v>0</v>
          </cell>
          <cell r="G748">
            <v>0</v>
          </cell>
        </row>
        <row r="749">
          <cell r="A749" t="str">
            <v>37-1000328-02</v>
          </cell>
          <cell r="B749" t="str">
            <v>CABLE ASSY, HOUSEWIRE, 4MM2, BLACK</v>
          </cell>
          <cell r="E749">
            <v>0</v>
          </cell>
          <cell r="G749">
            <v>0</v>
          </cell>
        </row>
        <row r="750">
          <cell r="A750" t="str">
            <v>37-1000328-03</v>
          </cell>
          <cell r="B750" t="str">
            <v>CABLE ASSY, HOUSEWIRE, 4MM2, BLACK</v>
          </cell>
          <cell r="E750">
            <v>0</v>
          </cell>
          <cell r="G750">
            <v>0</v>
          </cell>
        </row>
        <row r="751">
          <cell r="A751" t="str">
            <v>37-1000328-260</v>
          </cell>
          <cell r="B751" t="str">
            <v>CABLE ASSY, HOUSEWIRE, 4MM2, BLACK</v>
          </cell>
          <cell r="E751">
            <v>4.71</v>
          </cell>
          <cell r="G751">
            <v>256</v>
          </cell>
        </row>
        <row r="752">
          <cell r="A752" t="str">
            <v>37-1000328-300</v>
          </cell>
          <cell r="B752" t="str">
            <v>CABLE ASSY, HOUSEWIRE, 4MM2, BLACK</v>
          </cell>
          <cell r="E752">
            <v>5.4998899999999997</v>
          </cell>
          <cell r="G752">
            <v>353</v>
          </cell>
        </row>
        <row r="753">
          <cell r="A753" t="str">
            <v>37-1000328-340</v>
          </cell>
          <cell r="B753" t="str">
            <v>CABLE ASSY, HOUSEWIRE, 4MM2, BLACK</v>
          </cell>
          <cell r="E753">
            <v>5.9218299999999999</v>
          </cell>
          <cell r="G753">
            <v>180</v>
          </cell>
        </row>
        <row r="754">
          <cell r="A754" t="str">
            <v>37-1000329-01</v>
          </cell>
          <cell r="B754" t="str">
            <v>CABLE ASSY, HOUSEWIRE, 4MM2, RED</v>
          </cell>
          <cell r="E754">
            <v>0</v>
          </cell>
          <cell r="G754">
            <v>0</v>
          </cell>
        </row>
        <row r="755">
          <cell r="A755" t="str">
            <v>37-1000329-02</v>
          </cell>
          <cell r="B755" t="str">
            <v>CABLE ASSY, HOUSEWIRE, 4MM2, RED</v>
          </cell>
          <cell r="E755">
            <v>0</v>
          </cell>
          <cell r="G755">
            <v>0</v>
          </cell>
        </row>
        <row r="756">
          <cell r="A756" t="str">
            <v>37-1000329-03</v>
          </cell>
          <cell r="B756" t="str">
            <v>CABLE ASSY, HOUSEWIRE, 4MM2, RED</v>
          </cell>
          <cell r="E756">
            <v>0</v>
          </cell>
          <cell r="G756">
            <v>0</v>
          </cell>
        </row>
        <row r="757">
          <cell r="A757" t="str">
            <v>37-1000329-150</v>
          </cell>
          <cell r="B757" t="str">
            <v>CABLE ASSY, HOUSEWIRE, 4MM2, RED</v>
          </cell>
          <cell r="E757">
            <v>3.77007</v>
          </cell>
          <cell r="G757">
            <v>147</v>
          </cell>
        </row>
        <row r="758">
          <cell r="A758" t="str">
            <v>37-1000329-380</v>
          </cell>
          <cell r="B758" t="str">
            <v>CABLE ASSY, HOUSEWIRE, 4MM2, RED</v>
          </cell>
          <cell r="E758">
            <v>5.7331099999999999</v>
          </cell>
          <cell r="G758">
            <v>302</v>
          </cell>
        </row>
        <row r="759">
          <cell r="A759" t="str">
            <v>37-1000329-420</v>
          </cell>
          <cell r="B759" t="str">
            <v>CABLE ASSY, HOUSEWIRE, 4MM2, RED</v>
          </cell>
          <cell r="E759">
            <v>6.5777599999999996</v>
          </cell>
          <cell r="G759">
            <v>303</v>
          </cell>
        </row>
        <row r="760">
          <cell r="A760" t="str">
            <v>37-1000329-460</v>
          </cell>
          <cell r="B760" t="str">
            <v>CABLE ASSY, HOUSEWIRE, 4MM2, RED</v>
          </cell>
          <cell r="E760">
            <v>7.1325200000000004</v>
          </cell>
          <cell r="G760">
            <v>139</v>
          </cell>
        </row>
        <row r="761">
          <cell r="A761" t="str">
            <v>37-1000330-01</v>
          </cell>
          <cell r="B761" t="str">
            <v>CABLE ASSY, HOUSEWIRE, 10MM2, BLACK</v>
          </cell>
          <cell r="E761">
            <v>0</v>
          </cell>
          <cell r="G761">
            <v>0</v>
          </cell>
        </row>
        <row r="762">
          <cell r="A762" t="str">
            <v>37-1000330-02</v>
          </cell>
          <cell r="B762" t="str">
            <v>CABLE ASSY, HOUSEWIRE, 10MM2, BLACK</v>
          </cell>
          <cell r="E762">
            <v>0</v>
          </cell>
          <cell r="G762">
            <v>0</v>
          </cell>
        </row>
        <row r="763">
          <cell r="A763" t="str">
            <v>37-1000330-03</v>
          </cell>
          <cell r="B763" t="str">
            <v>CABLE ASSY, HOUSEWIRE, 10MM2, BLACK</v>
          </cell>
          <cell r="E763">
            <v>0</v>
          </cell>
          <cell r="G763">
            <v>0</v>
          </cell>
        </row>
        <row r="764">
          <cell r="A764" t="str">
            <v>37-1000330-04</v>
          </cell>
          <cell r="B764" t="str">
            <v>CABLE ASSY, HOUSEWIRE, 10MM2, BLACK</v>
          </cell>
          <cell r="E764">
            <v>0</v>
          </cell>
          <cell r="G764">
            <v>0</v>
          </cell>
        </row>
        <row r="765">
          <cell r="A765" t="str">
            <v>37-1000330-05</v>
          </cell>
          <cell r="B765" t="str">
            <v>CABLE ASSY, HOUSEWIRE, 10MM2, BLACK</v>
          </cell>
          <cell r="E765">
            <v>0</v>
          </cell>
          <cell r="G765">
            <v>0</v>
          </cell>
        </row>
        <row r="766">
          <cell r="A766" t="str">
            <v>37-1000330-100</v>
          </cell>
          <cell r="B766" t="str">
            <v>CABLE ASSY, HOUSEWIRE, 10MM2, BLACK, 100mm</v>
          </cell>
          <cell r="E766">
            <v>28.075810000000001</v>
          </cell>
          <cell r="G766">
            <v>689</v>
          </cell>
        </row>
        <row r="767">
          <cell r="A767" t="str">
            <v>37-1000330-1000</v>
          </cell>
          <cell r="B767" t="str">
            <v>CABLE ASSY, HOUSEWIRE, 10MM2, BLACK</v>
          </cell>
          <cell r="E767">
            <v>0</v>
          </cell>
          <cell r="G767">
            <v>0</v>
          </cell>
        </row>
        <row r="768">
          <cell r="A768" t="str">
            <v>37-1000330-150</v>
          </cell>
          <cell r="B768" t="str">
            <v xml:space="preserve">CABLE ASSY, HOUSEWIRE, 10MM2, BLACK </v>
          </cell>
          <cell r="E768">
            <v>0</v>
          </cell>
          <cell r="G768">
            <v>0</v>
          </cell>
        </row>
        <row r="769">
          <cell r="A769" t="str">
            <v>37-1000330-300</v>
          </cell>
          <cell r="B769" t="str">
            <v>CABLE ASSY, HOUSEWIRE, 10MM2, BLACK, 300mm</v>
          </cell>
          <cell r="E769">
            <v>32.919110000000003</v>
          </cell>
          <cell r="G769">
            <v>721</v>
          </cell>
        </row>
        <row r="770">
          <cell r="A770" t="str">
            <v>37-1000330-400</v>
          </cell>
          <cell r="B770" t="str">
            <v>CABLE ASSY, HOUSEWIRE, 10MM2, BLACK, 400mm</v>
          </cell>
          <cell r="E770">
            <v>34.967950000000002</v>
          </cell>
          <cell r="G770">
            <v>195</v>
          </cell>
        </row>
        <row r="771">
          <cell r="A771" t="str">
            <v>37-1000330-500</v>
          </cell>
          <cell r="B771" t="str">
            <v>CABLE ASSY, HOUSEWIRE, 10MM2, BLACK, 500mm</v>
          </cell>
          <cell r="E771">
            <v>38.401760000000003</v>
          </cell>
          <cell r="G771">
            <v>439</v>
          </cell>
        </row>
        <row r="772">
          <cell r="A772" t="str">
            <v>37-1000330-550</v>
          </cell>
          <cell r="B772" t="str">
            <v>CABLE ASSY, HOUSEWIRE, 10MM2, BLACK</v>
          </cell>
          <cell r="E772">
            <v>0</v>
          </cell>
          <cell r="G772">
            <v>0</v>
          </cell>
        </row>
        <row r="773">
          <cell r="A773" t="str">
            <v>37-1000330-600</v>
          </cell>
          <cell r="B773" t="str">
            <v>CABLE ASSY, HOUSEWIRE, 10MM2, BLACK, 600mm</v>
          </cell>
          <cell r="E773">
            <v>40.942770000000003</v>
          </cell>
          <cell r="G773">
            <v>365</v>
          </cell>
        </row>
        <row r="774">
          <cell r="A774" t="str">
            <v>37-1000330-650</v>
          </cell>
          <cell r="B774" t="str">
            <v>CABLE ASSY, HOUSEWIRE, 10MM2, BLACK, 650mm</v>
          </cell>
          <cell r="E774">
            <v>42.262639999999998</v>
          </cell>
          <cell r="G774">
            <v>232</v>
          </cell>
        </row>
        <row r="775">
          <cell r="A775" t="str">
            <v>37-1000330-700</v>
          </cell>
          <cell r="B775" t="str">
            <v>CABLE ASSY, HOUSEWIRE, 10MM2, BLACK, 700mm</v>
          </cell>
          <cell r="E775">
            <v>43.544240000000002</v>
          </cell>
          <cell r="G775">
            <v>258</v>
          </cell>
        </row>
        <row r="776">
          <cell r="A776" t="str">
            <v>37-1000330-850</v>
          </cell>
          <cell r="B776" t="str">
            <v>CABLE ASSY, HOUSEWIRE, 10MM2, BLACK, 850mm</v>
          </cell>
          <cell r="E776">
            <v>47.411540000000002</v>
          </cell>
          <cell r="G776">
            <v>268</v>
          </cell>
        </row>
        <row r="777">
          <cell r="A777" t="str">
            <v>37-1000330-900</v>
          </cell>
          <cell r="B777" t="str">
            <v>CABLE ASSY, HOUSEWIRE, 10MM2, BLACK, 900mm</v>
          </cell>
          <cell r="E777">
            <v>47.24</v>
          </cell>
          <cell r="G777">
            <v>265</v>
          </cell>
        </row>
        <row r="778">
          <cell r="A778" t="str">
            <v>37-1000331-01</v>
          </cell>
          <cell r="B778" t="str">
            <v>CABLE ASSY, HOUSEWIRE, 10MM2, RED</v>
          </cell>
          <cell r="E778">
            <v>0</v>
          </cell>
          <cell r="G778">
            <v>0</v>
          </cell>
        </row>
        <row r="779">
          <cell r="A779" t="str">
            <v>37-1000331-02</v>
          </cell>
          <cell r="B779" t="str">
            <v>CABLE ASSY, HOUSEWIRE, 10MM2, RED</v>
          </cell>
          <cell r="E779">
            <v>0</v>
          </cell>
          <cell r="G779">
            <v>0</v>
          </cell>
        </row>
        <row r="780">
          <cell r="A780" t="str">
            <v>37-1000331-03</v>
          </cell>
          <cell r="B780" t="str">
            <v>CABLE ASSY, HOUSEWIRE, 10MM2, RED</v>
          </cell>
          <cell r="E780">
            <v>0</v>
          </cell>
          <cell r="G780">
            <v>0</v>
          </cell>
        </row>
        <row r="781">
          <cell r="A781" t="str">
            <v>37-1000331-04</v>
          </cell>
          <cell r="B781" t="str">
            <v>CABLE ASSY, HOUSEWIRE, 10MM2, RED</v>
          </cell>
          <cell r="E781">
            <v>0</v>
          </cell>
          <cell r="G781">
            <v>0</v>
          </cell>
        </row>
        <row r="782">
          <cell r="A782" t="str">
            <v>37-1000331-100</v>
          </cell>
          <cell r="B782" t="str">
            <v>CABLE ASSY, HOUSEWIRE, 10MM2, RED, 100mm</v>
          </cell>
          <cell r="E782">
            <v>28.017600000000002</v>
          </cell>
          <cell r="G782">
            <v>1329</v>
          </cell>
        </row>
        <row r="783">
          <cell r="A783" t="str">
            <v>37-1000331-1000</v>
          </cell>
          <cell r="B783" t="str">
            <v>CABLE ASSY, HOUSEWIRE, 10MM2, RED</v>
          </cell>
          <cell r="E783">
            <v>0</v>
          </cell>
          <cell r="G783">
            <v>0</v>
          </cell>
        </row>
        <row r="784">
          <cell r="A784" t="str">
            <v>37-1000331-300</v>
          </cell>
          <cell r="B784" t="str">
            <v>CABLE ASSY, HOUSEWIRE, 10MM2, RED, 300mm</v>
          </cell>
          <cell r="E784">
            <v>32.647550000000003</v>
          </cell>
          <cell r="G784">
            <v>283</v>
          </cell>
        </row>
        <row r="785">
          <cell r="A785" t="str">
            <v>37-1000331-400</v>
          </cell>
          <cell r="B785" t="str">
            <v>CABLE ASSY, HOUSEWIRE, 10MM2, RED, 400mm</v>
          </cell>
          <cell r="E785">
            <v>30.995100000000001</v>
          </cell>
          <cell r="G785">
            <v>485</v>
          </cell>
        </row>
        <row r="786">
          <cell r="A786" t="str">
            <v>37-1000331-500</v>
          </cell>
          <cell r="B786" t="str">
            <v>CABLE ASSY, HOUSEWIRE, 10MM2, RED, 500mm</v>
          </cell>
          <cell r="E786">
            <v>37.462580000000003</v>
          </cell>
          <cell r="G786">
            <v>276</v>
          </cell>
        </row>
        <row r="787">
          <cell r="A787" t="str">
            <v>37-1000331-550</v>
          </cell>
          <cell r="B787" t="str">
            <v>CABLE ASSY, HOUSEWIRE, 10MM2, RED</v>
          </cell>
          <cell r="E787">
            <v>0</v>
          </cell>
          <cell r="G787">
            <v>0</v>
          </cell>
        </row>
        <row r="788">
          <cell r="A788" t="str">
            <v>37-1000331-600</v>
          </cell>
          <cell r="B788" t="str">
            <v>CABLE ASSY, HOUSEWIRE, 10MM2, RED, 600mm</v>
          </cell>
          <cell r="E788">
            <v>39.827770000000001</v>
          </cell>
          <cell r="G788">
            <v>322</v>
          </cell>
        </row>
        <row r="789">
          <cell r="A789" t="str">
            <v>37-1000331-700</v>
          </cell>
          <cell r="B789" t="str">
            <v>CABLE ASSY, HOUSEWIRE, 10MM2, RED, 700mm</v>
          </cell>
          <cell r="E789">
            <v>42.999200000000002</v>
          </cell>
          <cell r="G789">
            <v>430</v>
          </cell>
        </row>
        <row r="790">
          <cell r="A790" t="str">
            <v>37-1000331-850</v>
          </cell>
          <cell r="B790" t="str">
            <v>CABLE ASSY, HOUSEWIRE, 10MM2, RED, 850mm</v>
          </cell>
          <cell r="E790">
            <v>45.52</v>
          </cell>
          <cell r="G790">
            <v>289</v>
          </cell>
        </row>
        <row r="791">
          <cell r="A791" t="str">
            <v>37-1000331-900</v>
          </cell>
          <cell r="B791" t="str">
            <v>CABLE ASSY, HOUSEWIRE, 10MM2, RED, 900mm</v>
          </cell>
          <cell r="E791">
            <v>46.70581</v>
          </cell>
          <cell r="G791">
            <v>493</v>
          </cell>
        </row>
        <row r="792">
          <cell r="A792" t="str">
            <v>37-1000335-01</v>
          </cell>
          <cell r="B792" t="str">
            <v>CABLE ASSY, SINGLEFLEX, 10MM2, BOOTLACE-BOOTLACE, BLACK</v>
          </cell>
          <cell r="E792">
            <v>0</v>
          </cell>
          <cell r="G792">
            <v>0</v>
          </cell>
        </row>
        <row r="793">
          <cell r="A793" t="str">
            <v>37-1000335-02</v>
          </cell>
          <cell r="B793" t="str">
            <v>CABLE ASSY, SINGLEFLEX, 10MM2, BOOTLACE-BOOTLACE, BLACK</v>
          </cell>
          <cell r="E793">
            <v>0</v>
          </cell>
          <cell r="G793">
            <v>0</v>
          </cell>
        </row>
        <row r="794">
          <cell r="A794" t="str">
            <v>37-1000335-03</v>
          </cell>
          <cell r="B794" t="str">
            <v>CABLE ASSY, SINGLEFLEX, 10MM2, BOOTLACE-BOOTLACE, BLACK</v>
          </cell>
          <cell r="E794">
            <v>0</v>
          </cell>
          <cell r="G794">
            <v>0</v>
          </cell>
        </row>
        <row r="795">
          <cell r="A795" t="str">
            <v>37-1000335-04</v>
          </cell>
          <cell r="B795" t="str">
            <v>CABLE ASSY, SINGLEFLEX, 10MM2, BOOTLACE-BOOTLACE, BLACK</v>
          </cell>
          <cell r="E795">
            <v>0</v>
          </cell>
          <cell r="G795">
            <v>0</v>
          </cell>
        </row>
        <row r="796">
          <cell r="A796" t="str">
            <v>37-1000335-05</v>
          </cell>
          <cell r="B796" t="str">
            <v>CABLE ASSY, SINGLEFLEX, 10MM2, BOOTLACE-BOOTLACE, BLACK</v>
          </cell>
          <cell r="E796">
            <v>0</v>
          </cell>
          <cell r="G796">
            <v>0</v>
          </cell>
        </row>
        <row r="797">
          <cell r="A797" t="str">
            <v>37-1000335-06</v>
          </cell>
          <cell r="B797" t="str">
            <v>CABLE ASSY, SINGLEFLEX, 10MM2, BOOTLACE-BOOTLACE, BLACK</v>
          </cell>
          <cell r="E797">
            <v>0</v>
          </cell>
          <cell r="G797">
            <v>0</v>
          </cell>
        </row>
        <row r="798">
          <cell r="A798" t="str">
            <v>37-1000335-07</v>
          </cell>
          <cell r="B798" t="str">
            <v>CABLE ASSY, SINGLEFLEX, 10MM2, BOOTLACE-BOOTLACE, BLACK</v>
          </cell>
          <cell r="E798">
            <v>0</v>
          </cell>
          <cell r="G798">
            <v>0</v>
          </cell>
        </row>
        <row r="799">
          <cell r="A799" t="str">
            <v>37-1000335-180</v>
          </cell>
          <cell r="B799" t="str">
            <v>Cable Assy, Singleflex, 10mm2, Bootlace-Bootlace, Black</v>
          </cell>
          <cell r="E799">
            <v>0</v>
          </cell>
          <cell r="G799">
            <v>0</v>
          </cell>
        </row>
        <row r="800">
          <cell r="A800" t="str">
            <v>37-1000335-200</v>
          </cell>
          <cell r="B800" t="str">
            <v>Cable Assy, Singleflex, 10mm2, Bootlace-Bootlace, Black</v>
          </cell>
          <cell r="E800">
            <v>33.247799999999998</v>
          </cell>
          <cell r="G800">
            <v>0</v>
          </cell>
        </row>
        <row r="801">
          <cell r="A801" t="str">
            <v>37-1000335-250</v>
          </cell>
          <cell r="B801" t="str">
            <v>CABLE ASSY, SINGLEFLEX, 10MM2, BLACK</v>
          </cell>
          <cell r="E801">
            <v>0</v>
          </cell>
          <cell r="G801">
            <v>0</v>
          </cell>
        </row>
        <row r="802">
          <cell r="A802" t="str">
            <v>37-1000335-300</v>
          </cell>
          <cell r="B802" t="str">
            <v>CABLE ASSY, SINGLEFLEX, 10MM2, BLACK</v>
          </cell>
          <cell r="E802">
            <v>35.926499999999997</v>
          </cell>
          <cell r="G802">
            <v>0</v>
          </cell>
        </row>
        <row r="803">
          <cell r="A803" t="str">
            <v>37-1000335-320</v>
          </cell>
          <cell r="B803" t="str">
            <v>Cable Assy, Singleflex, 10mm2, Black</v>
          </cell>
          <cell r="E803">
            <v>36.801250000000003</v>
          </cell>
          <cell r="G803">
            <v>8</v>
          </cell>
        </row>
        <row r="804">
          <cell r="A804" t="str">
            <v>37-1000335-550</v>
          </cell>
          <cell r="B804" t="str">
            <v>Cable Assy, Singleflex, 10mm2, Black</v>
          </cell>
          <cell r="E804">
            <v>42.5</v>
          </cell>
          <cell r="G804">
            <v>0</v>
          </cell>
        </row>
        <row r="805">
          <cell r="A805" t="str">
            <v>37-1000335-600</v>
          </cell>
          <cell r="B805" t="str">
            <v>Cable Assy, Singleflex, 10mm2, Bootlace-Bootlace, Black</v>
          </cell>
          <cell r="E805">
            <v>0</v>
          </cell>
          <cell r="G805">
            <v>0</v>
          </cell>
        </row>
        <row r="806">
          <cell r="A806" t="str">
            <v>37-1000335-650</v>
          </cell>
          <cell r="B806" t="str">
            <v>Cable Assy, Singleflex, 10mm2, Bootlace-Bootlace, Black</v>
          </cell>
          <cell r="E806">
            <v>42.854050000000001</v>
          </cell>
          <cell r="G806">
            <v>121</v>
          </cell>
        </row>
        <row r="807">
          <cell r="A807" t="str">
            <v>37-1000335-700</v>
          </cell>
          <cell r="B807" t="str">
            <v>Cable Assy, Singleflex, 10mm2, Bootlace-Bootlace, Black</v>
          </cell>
          <cell r="E807">
            <v>0</v>
          </cell>
          <cell r="G807">
            <v>0</v>
          </cell>
        </row>
        <row r="808">
          <cell r="A808" t="str">
            <v>37-1000335-750</v>
          </cell>
          <cell r="B808" t="str">
            <v>CABLE ASSY, SINGLEFLEX, 10MM2, BLACK</v>
          </cell>
          <cell r="E808">
            <v>0</v>
          </cell>
          <cell r="G808">
            <v>0</v>
          </cell>
        </row>
        <row r="809">
          <cell r="A809" t="str">
            <v>37-1000335-850</v>
          </cell>
          <cell r="B809" t="str">
            <v>Cable Assy, Singleflex, 10mm2, Bootlace-Bootlace, Black</v>
          </cell>
          <cell r="E809">
            <v>0</v>
          </cell>
          <cell r="G809">
            <v>0</v>
          </cell>
        </row>
        <row r="810">
          <cell r="A810" t="str">
            <v>37-1000335-900</v>
          </cell>
          <cell r="B810" t="str">
            <v>Cable Assy, Singleflex, 10mm2, Bootlace-Bootlace, Black</v>
          </cell>
          <cell r="E810">
            <v>0</v>
          </cell>
          <cell r="G810">
            <v>0</v>
          </cell>
        </row>
        <row r="811">
          <cell r="A811" t="str">
            <v>37-1000336-01</v>
          </cell>
          <cell r="B811" t="str">
            <v>CABLE ASSY, SINGLEFLEX, 10MM2, BOOTLACE-BOOTLACE, RED</v>
          </cell>
          <cell r="E811">
            <v>0</v>
          </cell>
          <cell r="G811">
            <v>0</v>
          </cell>
        </row>
        <row r="812">
          <cell r="A812" t="str">
            <v>37-1000336-02</v>
          </cell>
          <cell r="B812" t="str">
            <v>CABLE ASSY, SINGLEFLEX, 10MM2, BOOTLACE-BOOTLACE, RED</v>
          </cell>
          <cell r="E812">
            <v>0</v>
          </cell>
          <cell r="G812">
            <v>0</v>
          </cell>
        </row>
        <row r="813">
          <cell r="A813" t="str">
            <v>37-1000336-03</v>
          </cell>
          <cell r="B813" t="str">
            <v>CABLE ASSY, SINGLEFLEX, 10MM2, BOOTLACE-BOOTLACE, RED</v>
          </cell>
          <cell r="E813">
            <v>0</v>
          </cell>
          <cell r="G813">
            <v>0</v>
          </cell>
        </row>
        <row r="814">
          <cell r="A814" t="str">
            <v>37-1000336-04</v>
          </cell>
          <cell r="B814" t="str">
            <v>CABLE ASSY, SINGLEFLEX, 10MM2, BOOTLACE-BOOTLACE, RED</v>
          </cell>
          <cell r="E814">
            <v>0</v>
          </cell>
          <cell r="G814">
            <v>0</v>
          </cell>
        </row>
        <row r="815">
          <cell r="A815" t="str">
            <v>37-1000336-05</v>
          </cell>
          <cell r="B815" t="str">
            <v>CABLE ASSY, SINGLEFLEX, 10MM2, BOOTLACE-BOOTLACE, RED</v>
          </cell>
          <cell r="E815">
            <v>0</v>
          </cell>
          <cell r="G815">
            <v>0</v>
          </cell>
        </row>
        <row r="816">
          <cell r="A816" t="str">
            <v>37-1000336-06</v>
          </cell>
          <cell r="B816" t="str">
            <v>CABLE ASSY, SINGLEFLEX, 10MM2, BOOTLACE-BOOTLACE, RED</v>
          </cell>
          <cell r="E816">
            <v>0</v>
          </cell>
          <cell r="G816">
            <v>0</v>
          </cell>
        </row>
        <row r="817">
          <cell r="A817" t="str">
            <v>37-1000336-07</v>
          </cell>
          <cell r="B817" t="str">
            <v>CABLE ASSY, SINGLEFLEX, 10MM2, BOOTLACE-BOOTLACE, RED</v>
          </cell>
          <cell r="E817">
            <v>0</v>
          </cell>
          <cell r="G817">
            <v>0</v>
          </cell>
        </row>
        <row r="818">
          <cell r="A818" t="str">
            <v>37-1000336-115</v>
          </cell>
          <cell r="B818" t="str">
            <v>Cable Assy, Singleflex, 10mm2, Bootlace-Bootlace, Red</v>
          </cell>
          <cell r="E818">
            <v>0</v>
          </cell>
          <cell r="G818">
            <v>0</v>
          </cell>
        </row>
        <row r="819">
          <cell r="A819" t="str">
            <v>37-1000336-250</v>
          </cell>
          <cell r="B819" t="str">
            <v>CABLE ASSY, SINGLEFLEX, 10MM2, RED</v>
          </cell>
          <cell r="E819">
            <v>0</v>
          </cell>
          <cell r="G819">
            <v>0</v>
          </cell>
        </row>
        <row r="820">
          <cell r="A820" t="str">
            <v>37-1000336-300</v>
          </cell>
          <cell r="B820" t="str">
            <v>Cable Assy, Singleflex, 10mm2, Red</v>
          </cell>
          <cell r="E820">
            <v>34.779000000000003</v>
          </cell>
          <cell r="G820">
            <v>10</v>
          </cell>
        </row>
        <row r="821">
          <cell r="A821" t="str">
            <v>37-1000336-330</v>
          </cell>
          <cell r="B821" t="str">
            <v>CABLE ASSY, SINGLEFLEX, 10MM2, RED</v>
          </cell>
          <cell r="E821">
            <v>34.8155</v>
          </cell>
          <cell r="G821">
            <v>19</v>
          </cell>
        </row>
        <row r="822">
          <cell r="A822" t="str">
            <v>37-1000336-350</v>
          </cell>
          <cell r="B822" t="str">
            <v>Cable Assy, Singleflex, 10mm2, Red</v>
          </cell>
          <cell r="E822">
            <v>35.926670000000001</v>
          </cell>
          <cell r="G822">
            <v>6</v>
          </cell>
        </row>
        <row r="823">
          <cell r="A823" t="str">
            <v>37-1000336-400</v>
          </cell>
          <cell r="B823" t="str">
            <v>CABLE ASSY, SINGLEFLEX, 10MM2, RED</v>
          </cell>
          <cell r="E823">
            <v>0</v>
          </cell>
          <cell r="G823">
            <v>0</v>
          </cell>
        </row>
        <row r="824">
          <cell r="A824" t="str">
            <v>37-1000336-450</v>
          </cell>
          <cell r="B824" t="str">
            <v>Cable Assy, Singleflex, 10mm2, Bootlace-Bootlace, Red</v>
          </cell>
          <cell r="E824">
            <v>39.828600000000002</v>
          </cell>
          <cell r="G824">
            <v>0</v>
          </cell>
        </row>
        <row r="825">
          <cell r="A825" t="str">
            <v>37-1000336-500</v>
          </cell>
          <cell r="B825" t="str">
            <v>Cable Assy, Singleflex, 10mm2, Bootlace-Bootlace, Red</v>
          </cell>
          <cell r="E825">
            <v>41.284799999999997</v>
          </cell>
          <cell r="G825">
            <v>0</v>
          </cell>
        </row>
        <row r="826">
          <cell r="A826" t="str">
            <v>37-1000336-550</v>
          </cell>
          <cell r="B826" t="str">
            <v>CABLE ASSY, SINGLEFLEX, 10MM2, RED</v>
          </cell>
          <cell r="E826">
            <v>43.207500000000003</v>
          </cell>
          <cell r="G826">
            <v>8</v>
          </cell>
        </row>
        <row r="827">
          <cell r="A827" t="str">
            <v>37-1000336-600</v>
          </cell>
          <cell r="B827" t="str">
            <v>Cable Assy, Singleflex, 10mm2, Bootlace-Bootlace, Red</v>
          </cell>
          <cell r="E827">
            <v>0</v>
          </cell>
          <cell r="G827">
            <v>0</v>
          </cell>
        </row>
        <row r="828">
          <cell r="A828" t="str">
            <v>37-1000336-650</v>
          </cell>
          <cell r="B828" t="str">
            <v>Cable Assy, Singleflex, 10mm2, Red</v>
          </cell>
          <cell r="E828">
            <v>45.79</v>
          </cell>
          <cell r="G828">
            <v>1</v>
          </cell>
        </row>
        <row r="829">
          <cell r="A829" t="str">
            <v>37-1000336-700</v>
          </cell>
          <cell r="B829" t="str">
            <v>Cable Assy, Singleflex, 10mm2, Bootlace-Bootlace, Red</v>
          </cell>
          <cell r="E829">
            <v>0</v>
          </cell>
          <cell r="G829">
            <v>0</v>
          </cell>
        </row>
        <row r="830">
          <cell r="A830" t="str">
            <v>37-1000336-750</v>
          </cell>
          <cell r="B830" t="str">
            <v>CABLE ASSY, SINGLEFLEX, 10MM2, RED</v>
          </cell>
          <cell r="E830">
            <v>0</v>
          </cell>
          <cell r="G830">
            <v>0</v>
          </cell>
        </row>
        <row r="831">
          <cell r="A831" t="str">
            <v>37-1000336-850</v>
          </cell>
          <cell r="B831" t="str">
            <v>Cable Assy, Singleflex, 10mm2, Bootlace-Bootlace, Red</v>
          </cell>
          <cell r="E831">
            <v>0</v>
          </cell>
          <cell r="G831">
            <v>0</v>
          </cell>
        </row>
        <row r="832">
          <cell r="A832" t="str">
            <v>37-1000336-900</v>
          </cell>
          <cell r="B832" t="str">
            <v>Cable Assy, Singleflex, 10mm2, Bootlace-Bootlace, Red</v>
          </cell>
          <cell r="E832">
            <v>0</v>
          </cell>
          <cell r="G832">
            <v>0</v>
          </cell>
        </row>
        <row r="833">
          <cell r="A833" t="str">
            <v>37-1000337-01</v>
          </cell>
          <cell r="B833" t="str">
            <v>CABLE ASSY, CABTYRE, 4MM2, 3 CORE, BOOTLACE, BLACK</v>
          </cell>
          <cell r="E833">
            <v>0</v>
          </cell>
          <cell r="G833">
            <v>0</v>
          </cell>
        </row>
        <row r="834">
          <cell r="A834" t="str">
            <v>37-1000337-02</v>
          </cell>
          <cell r="B834" t="str">
            <v>CABLE ASSY, CABTYRE, 4MM2, 3 CORE, BOOTLACE, BLACK</v>
          </cell>
          <cell r="E834">
            <v>0</v>
          </cell>
          <cell r="G834">
            <v>0</v>
          </cell>
        </row>
        <row r="835">
          <cell r="A835" t="str">
            <v>37-1000337-03</v>
          </cell>
          <cell r="B835" t="str">
            <v>CABLE ASSY, CABTYRE, 4MM2, 3 CORE, BOOTLACE, BLACK</v>
          </cell>
          <cell r="E835">
            <v>0</v>
          </cell>
          <cell r="G835">
            <v>0</v>
          </cell>
        </row>
        <row r="836">
          <cell r="A836" t="str">
            <v>37-1000337-04</v>
          </cell>
          <cell r="B836" t="str">
            <v>CABLE ASSY, CABTYRE, 4MM2, 3 CORE, BOOTLACE, BLACK</v>
          </cell>
          <cell r="E836">
            <v>0</v>
          </cell>
          <cell r="G836">
            <v>0</v>
          </cell>
        </row>
        <row r="837">
          <cell r="A837" t="str">
            <v>37-1000337-05</v>
          </cell>
          <cell r="B837" t="str">
            <v>CABLE ASSY, CABTYRE, 4.0MM2, 3 CORE, BOOTLACE, BLACK</v>
          </cell>
          <cell r="E837">
            <v>0</v>
          </cell>
          <cell r="G837">
            <v>0</v>
          </cell>
        </row>
        <row r="838">
          <cell r="A838" t="str">
            <v>37-1000337-1100</v>
          </cell>
          <cell r="B838" t="str">
            <v>CABLE ASSY, CABTYRE, 4MM2, 3 CORE, 400-150</v>
          </cell>
          <cell r="E838">
            <v>61.671750000000003</v>
          </cell>
          <cell r="G838">
            <v>120</v>
          </cell>
        </row>
        <row r="839">
          <cell r="A839" t="str">
            <v>37-1000337-750</v>
          </cell>
          <cell r="B839" t="str">
            <v>CABLE ASSY, CABTYRE, 4MM2, 3 CORE, 400-150</v>
          </cell>
          <cell r="E839">
            <v>50.306170000000002</v>
          </cell>
          <cell r="G839">
            <v>154</v>
          </cell>
        </row>
        <row r="840">
          <cell r="A840" t="str">
            <v>37-1000337-900</v>
          </cell>
          <cell r="B840" t="str">
            <v>CABLE ASSY, CABTYRE, 4MM2, 3 CORE, BOOTLACE, BLACK</v>
          </cell>
          <cell r="E840">
            <v>0</v>
          </cell>
          <cell r="G840">
            <v>0</v>
          </cell>
        </row>
        <row r="841">
          <cell r="A841" t="str">
            <v>37-1000344-01</v>
          </cell>
          <cell r="B841" t="str">
            <v>CABLE ASSY, TWISTED, BRAIDED, 0.15MM2, BOOTLACE-MOLEX</v>
          </cell>
          <cell r="E841">
            <v>0</v>
          </cell>
          <cell r="G841">
            <v>0</v>
          </cell>
        </row>
        <row r="842">
          <cell r="A842" t="str">
            <v>37-1000344-02</v>
          </cell>
          <cell r="B842" t="str">
            <v>CABLE ASSY, TWISTED, BRAIDED, 0.15MM2, BOOTLACE-MOLEX</v>
          </cell>
          <cell r="E842">
            <v>0</v>
          </cell>
          <cell r="G842">
            <v>0</v>
          </cell>
        </row>
        <row r="843">
          <cell r="A843" t="str">
            <v>37-1000344-03</v>
          </cell>
          <cell r="B843" t="str">
            <v>CABLE ASSY, TWISTED, BRAIDED, 0.15MM2, BOOTLACE-MOLEX</v>
          </cell>
          <cell r="E843">
            <v>0</v>
          </cell>
          <cell r="G843">
            <v>0</v>
          </cell>
        </row>
        <row r="844">
          <cell r="A844" t="str">
            <v>37-1000344-1200</v>
          </cell>
          <cell r="B844" t="str">
            <v>CABLE ASSY, TWISTED, BRAIDED, 0.22MM2, BOOTLACE-MOLEX, 1200mm</v>
          </cell>
          <cell r="E844">
            <v>4.0875000000000004</v>
          </cell>
          <cell r="G844">
            <v>4</v>
          </cell>
        </row>
        <row r="845">
          <cell r="A845" t="str">
            <v>37-1000344-400</v>
          </cell>
          <cell r="B845" t="str">
            <v>CABLE ASSY, TWISTED, BRAIDED, 0.22MM2, BOOTLACE-MOLEX, 400mm</v>
          </cell>
          <cell r="E845">
            <v>2.0213299999999998</v>
          </cell>
          <cell r="G845">
            <v>30</v>
          </cell>
        </row>
        <row r="846">
          <cell r="A846" t="str">
            <v>37-1000344-800</v>
          </cell>
          <cell r="B846" t="str">
            <v>CABLE ASSY, TWISTED, BRAIDED, 0.22MM2, BOOTLACE-MOLEX, 800mm</v>
          </cell>
          <cell r="E846">
            <v>3.56</v>
          </cell>
          <cell r="G846">
            <v>31</v>
          </cell>
        </row>
        <row r="847">
          <cell r="A847" t="str">
            <v>37-1000345-01</v>
          </cell>
          <cell r="B847" t="str">
            <v>CABLE ASSY, TWISTED, BRAIDED, 0.15MM2, MOLEX-MOLEX</v>
          </cell>
          <cell r="E847">
            <v>66.633330000000001</v>
          </cell>
          <cell r="G847">
            <v>0</v>
          </cell>
        </row>
        <row r="848">
          <cell r="A848" t="str">
            <v>37-1000345-250</v>
          </cell>
          <cell r="B848" t="str">
            <v>CABLE ASSY, TWISTED, 0.22MM2, MOLEX-MOLEX, 250mm</v>
          </cell>
          <cell r="E848">
            <v>19.837440000000001</v>
          </cell>
          <cell r="G848">
            <v>406</v>
          </cell>
        </row>
        <row r="849">
          <cell r="A849" t="str">
            <v>37-1000350-01</v>
          </cell>
          <cell r="B849" t="str">
            <v>CABLE ASSY, SINGLEFLEX, 2.5MM2, EARTH, RING, RING</v>
          </cell>
          <cell r="E849">
            <v>17.260000000000002</v>
          </cell>
          <cell r="G849">
            <v>185</v>
          </cell>
        </row>
        <row r="850">
          <cell r="A850" t="str">
            <v>37-1000350-02</v>
          </cell>
          <cell r="B850" t="str">
            <v>CABLE ASSY, SINGLEFLEX, 2.5MM2, EARTH, RING, RING</v>
          </cell>
          <cell r="E850">
            <v>17.260000000000002</v>
          </cell>
          <cell r="G850">
            <v>84</v>
          </cell>
        </row>
        <row r="851">
          <cell r="A851" t="str">
            <v>37-1000350-150</v>
          </cell>
          <cell r="B851" t="str">
            <v>CABLE ASSY, SINGLEFLEX, 2.5MM2, EARTH, RING, RING</v>
          </cell>
          <cell r="E851">
            <v>4.8436700000000004</v>
          </cell>
          <cell r="G851">
            <v>286</v>
          </cell>
        </row>
        <row r="852">
          <cell r="A852" t="str">
            <v>37-1000350-200</v>
          </cell>
          <cell r="B852" t="str">
            <v>CABLE ASSY, SINGLEFLEX, 2.5MM2, RING-RING, EARTH, 200mm</v>
          </cell>
          <cell r="E852">
            <v>5.9929800000000002</v>
          </cell>
          <cell r="G852">
            <v>886</v>
          </cell>
        </row>
        <row r="853">
          <cell r="A853" t="str">
            <v>37-1000350-250</v>
          </cell>
          <cell r="B853" t="str">
            <v>Cable Assy, Singleflex, 2.5mm2, Ring-Ring, Earth</v>
          </cell>
          <cell r="E853">
            <v>6.3068</v>
          </cell>
          <cell r="G853">
            <v>75</v>
          </cell>
        </row>
        <row r="854">
          <cell r="A854" t="str">
            <v>37-1000350-300</v>
          </cell>
          <cell r="B854" t="str">
            <v>Cable Assy, Singleflex, 2.5mm2, Ring-Ring, Earth</v>
          </cell>
          <cell r="E854">
            <v>14.188359999999999</v>
          </cell>
          <cell r="G854">
            <v>173</v>
          </cell>
        </row>
        <row r="855">
          <cell r="A855" t="str">
            <v>37-1000350-600</v>
          </cell>
          <cell r="B855" t="str">
            <v>CABLE ASSY, SINGLEFLEX, 2.5MM2, EARTH, RING, RING</v>
          </cell>
          <cell r="E855">
            <v>6.64</v>
          </cell>
          <cell r="G855">
            <v>116</v>
          </cell>
        </row>
        <row r="856">
          <cell r="A856" t="str">
            <v>37-1000351-01</v>
          </cell>
          <cell r="B856" t="str">
            <v>CABLE ASSY, SINGLEFLEX, 6MM2, RING-RING, EARTH</v>
          </cell>
          <cell r="E856">
            <v>0</v>
          </cell>
          <cell r="G856">
            <v>0</v>
          </cell>
        </row>
        <row r="857">
          <cell r="A857" t="str">
            <v>37-1000351-03</v>
          </cell>
          <cell r="B857" t="str">
            <v>CABLE ASSY, SINGLEFLEX, 6MM2, RING-RING, EARTH</v>
          </cell>
          <cell r="E857">
            <v>0</v>
          </cell>
          <cell r="G857">
            <v>0</v>
          </cell>
        </row>
        <row r="858">
          <cell r="A858" t="str">
            <v>37-1000351-100</v>
          </cell>
          <cell r="B858" t="str">
            <v>CABLE ASSY, SINGLEFLEX, 6MM2, RING-RING, EARTH, 100mm</v>
          </cell>
          <cell r="E858">
            <v>7.6829999999999998</v>
          </cell>
          <cell r="G858">
            <v>51</v>
          </cell>
        </row>
        <row r="859">
          <cell r="A859" t="str">
            <v>37-1000351-1000</v>
          </cell>
          <cell r="B859" t="str">
            <v>CABLE ASSY, SINGLEFLEX, 6MM2, RING-RING, EARTH</v>
          </cell>
          <cell r="E859">
            <v>0</v>
          </cell>
          <cell r="G859">
            <v>0</v>
          </cell>
        </row>
        <row r="860">
          <cell r="A860" t="str">
            <v>37-1000351-150</v>
          </cell>
          <cell r="B860" t="str">
            <v>CABLE ASSY, SINGLEFLEX, 6MM2, RING-RING, EARTH</v>
          </cell>
          <cell r="E860">
            <v>11.78</v>
          </cell>
          <cell r="G860">
            <v>1</v>
          </cell>
        </row>
        <row r="861">
          <cell r="A861" t="str">
            <v>37-1000351-2000</v>
          </cell>
          <cell r="B861" t="str">
            <v>CABLE ASSY, SINGLEFLEX, 6MM2, RING-RING, EARTH, 2000mm</v>
          </cell>
          <cell r="E861">
            <v>10.755000000000001</v>
          </cell>
          <cell r="G861">
            <v>0</v>
          </cell>
        </row>
        <row r="862">
          <cell r="A862" t="str">
            <v>37-1000351-250</v>
          </cell>
          <cell r="B862" t="str">
            <v>CABLE ASSY, SINGLEFLEX, 6MM2, RING-RING, EARTH, 250mm</v>
          </cell>
          <cell r="E862">
            <v>8.6931200000000004</v>
          </cell>
          <cell r="G862">
            <v>393</v>
          </cell>
        </row>
        <row r="863">
          <cell r="A863" t="str">
            <v>37-1000351-300</v>
          </cell>
          <cell r="B863" t="str">
            <v>Cable Assy, Singleflex, 6mm2, Ring-Ring, Earth</v>
          </cell>
          <cell r="E863">
            <v>7.8096300000000003</v>
          </cell>
          <cell r="G863">
            <v>48</v>
          </cell>
        </row>
        <row r="864">
          <cell r="A864" t="str">
            <v>37-1000351-500</v>
          </cell>
          <cell r="B864" t="str">
            <v>Cable Assy, Singleflex, 6mm2, Ring, Ring, Earth</v>
          </cell>
          <cell r="E864">
            <v>0</v>
          </cell>
          <cell r="G864">
            <v>0</v>
          </cell>
        </row>
        <row r="865">
          <cell r="A865" t="str">
            <v>37-1000351-600</v>
          </cell>
          <cell r="B865" t="str">
            <v>Cable Assy, Singleflex, 6mm2, Ring-Ring, Earth</v>
          </cell>
          <cell r="E865">
            <v>11.49456</v>
          </cell>
          <cell r="G865">
            <v>146</v>
          </cell>
        </row>
        <row r="866">
          <cell r="A866" t="str">
            <v>37-1000351-850</v>
          </cell>
          <cell r="B866" t="str">
            <v>Cable Assy, Singleflex, 6mm2, Ring-Ring, Earth</v>
          </cell>
          <cell r="E866">
            <v>0</v>
          </cell>
          <cell r="G866">
            <v>0</v>
          </cell>
        </row>
        <row r="867">
          <cell r="A867" t="str">
            <v>37-1000357-01</v>
          </cell>
          <cell r="B867" t="str">
            <v>CABLE ASSY, SINGLEFLEX, 2.5MM2, EARTH, RING, DISCONNECT M</v>
          </cell>
          <cell r="E867">
            <v>0</v>
          </cell>
          <cell r="G867">
            <v>0</v>
          </cell>
        </row>
        <row r="868">
          <cell r="A868" t="str">
            <v>37-1000357-250</v>
          </cell>
          <cell r="B868" t="str">
            <v>Cable Assy, Singleflex, 2.5mm2, Ring-Disconnect M, Earth</v>
          </cell>
          <cell r="E868">
            <v>5.8149600000000001</v>
          </cell>
          <cell r="G868">
            <v>198</v>
          </cell>
        </row>
        <row r="869">
          <cell r="A869" t="str">
            <v>37-1000357-300</v>
          </cell>
          <cell r="B869" t="str">
            <v>CABLE ASSY, SINGLEFLEX, 2.5MM2, EARTH, RING, DISCONNECT M</v>
          </cell>
          <cell r="E869">
            <v>5.3523800000000001</v>
          </cell>
          <cell r="G869">
            <v>524</v>
          </cell>
        </row>
        <row r="870">
          <cell r="A870" t="str">
            <v>37-1000358-01</v>
          </cell>
          <cell r="B870" t="str">
            <v>CABLE ASSY, SINGLEFLEX, 2.5MM2, EARTH, RING, DISCONNECT F</v>
          </cell>
          <cell r="E870">
            <v>0</v>
          </cell>
          <cell r="G870">
            <v>0</v>
          </cell>
        </row>
        <row r="871">
          <cell r="A871" t="str">
            <v>37-1000358-300</v>
          </cell>
          <cell r="B871" t="str">
            <v>CABLE ASSY, SINGLEFLEX, 2.5MM2, EARTH, RING, DISCONNECT F</v>
          </cell>
          <cell r="E871">
            <v>5.5074300000000003</v>
          </cell>
          <cell r="G871">
            <v>423</v>
          </cell>
        </row>
        <row r="872">
          <cell r="A872" t="str">
            <v>37-1000359-01</v>
          </cell>
          <cell r="B872" t="str">
            <v>CABLE ASSY, SINGLEFLEX, 6MM2, RING-DISCONNECT M, EARTH</v>
          </cell>
          <cell r="E872">
            <v>0</v>
          </cell>
          <cell r="G872">
            <v>0</v>
          </cell>
        </row>
        <row r="873">
          <cell r="A873" t="str">
            <v>37-1000359-1000</v>
          </cell>
          <cell r="B873" t="str">
            <v>Cable Assy, Singleflex, 6mm2, Ring-Disconnect M, Earth</v>
          </cell>
          <cell r="E873">
            <v>11.15297</v>
          </cell>
          <cell r="G873">
            <v>210</v>
          </cell>
        </row>
        <row r="874">
          <cell r="A874" t="str">
            <v>37-1000359-150</v>
          </cell>
          <cell r="B874" t="str">
            <v>Cable Assy, Singleflex, 6mm2, Ring-Disconnect M, Earth</v>
          </cell>
          <cell r="E874">
            <v>11.36448</v>
          </cell>
          <cell r="G874">
            <v>139</v>
          </cell>
        </row>
        <row r="875">
          <cell r="A875" t="str">
            <v>37-1000359-300</v>
          </cell>
          <cell r="B875" t="str">
            <v>CABLE ASSY, SINGLEFLEX, 6MM2, RING-DISCONNECT M, EARTH, 300mm</v>
          </cell>
          <cell r="E875">
            <v>7.4743700000000004</v>
          </cell>
          <cell r="G875">
            <v>65</v>
          </cell>
        </row>
        <row r="876">
          <cell r="A876" t="str">
            <v>37-1000359-400</v>
          </cell>
          <cell r="B876" t="str">
            <v>Cable Assy, Singleflex, 6mm2, Ring-Disconnect M, Earth</v>
          </cell>
          <cell r="E876">
            <v>8.5171200000000002</v>
          </cell>
          <cell r="G876">
            <v>209</v>
          </cell>
        </row>
        <row r="877">
          <cell r="A877" t="str">
            <v>37-1000360-01</v>
          </cell>
          <cell r="B877" t="str">
            <v>Cable Assy, Singleflex, 6mm2, Ring-Disconnect F, Earth</v>
          </cell>
          <cell r="E877">
            <v>0</v>
          </cell>
          <cell r="G877">
            <v>0</v>
          </cell>
        </row>
        <row r="878">
          <cell r="A878" t="str">
            <v>37-1000360-150</v>
          </cell>
          <cell r="B878" t="str">
            <v>CABLE ASSY, SINGLEFLEX, 6MM2, RING-DISCONNECT F, EARTH</v>
          </cell>
          <cell r="E878">
            <v>5.6522399999999999</v>
          </cell>
          <cell r="G878">
            <v>767</v>
          </cell>
        </row>
        <row r="879">
          <cell r="A879" t="str">
            <v>37-1000360-300</v>
          </cell>
          <cell r="B879" t="str">
            <v>CABLE ASSY, SINGLEFLEX, 6MM2, EARTH, RING, DISCONNECT F, 300mm</v>
          </cell>
          <cell r="E879">
            <v>6.7447800000000004</v>
          </cell>
          <cell r="G879">
            <v>228</v>
          </cell>
        </row>
        <row r="880">
          <cell r="A880" t="str">
            <v>37-1000375-01</v>
          </cell>
          <cell r="B880" t="str">
            <v>CABLE ASSY, CAT5E, RJ45</v>
          </cell>
          <cell r="E880">
            <v>0</v>
          </cell>
          <cell r="G880">
            <v>0</v>
          </cell>
        </row>
        <row r="881">
          <cell r="A881" t="str">
            <v>37-1000397-01</v>
          </cell>
          <cell r="B881" t="str">
            <v>CABLE ASSY, SINGLEFLEX, 6MM2, RING-BOOTLACE, EARTH</v>
          </cell>
          <cell r="E881">
            <v>0</v>
          </cell>
          <cell r="G881">
            <v>0</v>
          </cell>
        </row>
        <row r="882">
          <cell r="A882" t="str">
            <v>37-1000397-150</v>
          </cell>
          <cell r="B882" t="str">
            <v>Cable Assy, Singleflex, 6mm2, Ring-Bootlace, Earth</v>
          </cell>
          <cell r="E882">
            <v>5.8406599999999997</v>
          </cell>
          <cell r="G882">
            <v>49</v>
          </cell>
        </row>
        <row r="883">
          <cell r="A883" t="str">
            <v>37-1000397-200</v>
          </cell>
          <cell r="B883" t="str">
            <v>Cable Assy, Singleflex, 6mm2, Ring-Bootlace, Earth</v>
          </cell>
          <cell r="E883">
            <v>5.2694000000000001</v>
          </cell>
          <cell r="G883">
            <v>25</v>
          </cell>
        </row>
        <row r="884">
          <cell r="A884" t="str">
            <v>37-1000397-250</v>
          </cell>
          <cell r="B884" t="str">
            <v>CABLE ASSY, SINGLEFLEX, 6MM2, RING-BOOTLACE, EARTH</v>
          </cell>
          <cell r="E884">
            <v>6.9536300000000004</v>
          </cell>
          <cell r="G884">
            <v>137</v>
          </cell>
        </row>
        <row r="885">
          <cell r="A885" t="str">
            <v>37-1000397-300</v>
          </cell>
          <cell r="B885" t="str">
            <v>Cable Assy, Singleflex, 6mm2, Ring-Bootlace, Earth</v>
          </cell>
          <cell r="E885">
            <v>7.2117399999999998</v>
          </cell>
          <cell r="G885">
            <v>267</v>
          </cell>
        </row>
        <row r="886">
          <cell r="A886" t="str">
            <v>37-1000397-400</v>
          </cell>
          <cell r="B886" t="str">
            <v>Cable Assy, Singleflex, 6mm2, Ring-Bootlace, Earth</v>
          </cell>
          <cell r="E886">
            <v>10.926920000000001</v>
          </cell>
          <cell r="G886">
            <v>13</v>
          </cell>
        </row>
        <row r="887">
          <cell r="A887" t="str">
            <v>37-1000397-500</v>
          </cell>
          <cell r="B887" t="str">
            <v>CABLE ASSY, SINGLEFLEX, 6MM2, RING-BOOTLACE, EARTH</v>
          </cell>
          <cell r="E887">
            <v>0</v>
          </cell>
          <cell r="G887">
            <v>0</v>
          </cell>
        </row>
        <row r="888">
          <cell r="A888" t="str">
            <v>37-1000397-600</v>
          </cell>
          <cell r="B888" t="str">
            <v>CABLE ASSY, SINGLEFLEX, 6MM2, RING-BOOTLACE, EARTH, 600mm</v>
          </cell>
          <cell r="E888">
            <v>31.253</v>
          </cell>
          <cell r="G888">
            <v>0</v>
          </cell>
        </row>
        <row r="889">
          <cell r="A889" t="str">
            <v>37-1000397-700</v>
          </cell>
          <cell r="B889" t="str">
            <v>Cable Assy, Singleflex, 6mm2, Ring-Bootlace, Earth</v>
          </cell>
          <cell r="E889">
            <v>0</v>
          </cell>
          <cell r="G889">
            <v>0</v>
          </cell>
        </row>
        <row r="890">
          <cell r="A890" t="str">
            <v>37-1000398-01</v>
          </cell>
          <cell r="B890" t="str">
            <v>CABLE ASSY, SINGLEFLEX, 6MM2, BOOTLACE-BOOTLACE, EARTH</v>
          </cell>
          <cell r="E890">
            <v>0</v>
          </cell>
          <cell r="G890">
            <v>0</v>
          </cell>
        </row>
        <row r="891">
          <cell r="A891" t="str">
            <v>37-1000398-100</v>
          </cell>
          <cell r="B891" t="str">
            <v>CABLE ASSY, SINGLEFLEX, 6MM2, EARTH, 100mm</v>
          </cell>
          <cell r="E891">
            <v>5.19991</v>
          </cell>
          <cell r="G891">
            <v>110</v>
          </cell>
        </row>
        <row r="892">
          <cell r="A892" t="str">
            <v>37-1000398-200</v>
          </cell>
          <cell r="B892" t="str">
            <v>CABLE ASSY, SINGLEFLEX, 6MM2, BOOTLACE-BOOTLACE, EARTH</v>
          </cell>
          <cell r="E892">
            <v>0</v>
          </cell>
          <cell r="G892">
            <v>0</v>
          </cell>
        </row>
        <row r="893">
          <cell r="A893" t="str">
            <v>37-1000398-600</v>
          </cell>
          <cell r="B893" t="str">
            <v>CABLE ASSY, SINGLEFLEX, 6MM2, BOOTLACE-BOOTLACE, EARTH</v>
          </cell>
          <cell r="E893">
            <v>0</v>
          </cell>
          <cell r="G893">
            <v>0</v>
          </cell>
        </row>
        <row r="894">
          <cell r="A894" t="str">
            <v>37-1000403-01</v>
          </cell>
          <cell r="B894" t="str">
            <v>CABLE ASSY, SINGLEFLEX, 6MM2, RING-RING, EARTH</v>
          </cell>
          <cell r="E894">
            <v>0</v>
          </cell>
          <cell r="G894">
            <v>0</v>
          </cell>
        </row>
        <row r="895">
          <cell r="A895" t="str">
            <v>37-1000403-450</v>
          </cell>
          <cell r="B895" t="str">
            <v>Cable Assy, Singleflex, 6mm2, Ring-Ring, Earth</v>
          </cell>
          <cell r="E895">
            <v>11.5098</v>
          </cell>
          <cell r="G895">
            <v>41</v>
          </cell>
        </row>
        <row r="896">
          <cell r="A896" t="str">
            <v>37-1000403-600</v>
          </cell>
          <cell r="B896" t="str">
            <v>CABLE ASSY, SINGLEFLEX, 6MM2, RING-RING, EARTH, 600mm</v>
          </cell>
          <cell r="E896">
            <v>15.80349</v>
          </cell>
          <cell r="G896">
            <v>174</v>
          </cell>
        </row>
        <row r="897">
          <cell r="A897" t="str">
            <v>37-1000404-100</v>
          </cell>
          <cell r="B897" t="str">
            <v>CABLE ASSY, SINGLEFLEX, 6MM2, RING-BOOTLACE, EARTH, 100mm</v>
          </cell>
          <cell r="E897">
            <v>5.3216599999999996</v>
          </cell>
          <cell r="G897">
            <v>353</v>
          </cell>
        </row>
        <row r="898">
          <cell r="A898" t="str">
            <v>37-1000404-400</v>
          </cell>
          <cell r="B898" t="str">
            <v>Cable Assy, Singleflex, 6mm2, Ring-Bootlace, Earth</v>
          </cell>
          <cell r="E898">
            <v>10.85467</v>
          </cell>
          <cell r="G898">
            <v>15</v>
          </cell>
        </row>
        <row r="899">
          <cell r="A899" t="str">
            <v>37-1000404-600</v>
          </cell>
          <cell r="B899" t="str">
            <v>Cable Assy, Singleflex, 6mm2, Ring-Bootlace, Earth</v>
          </cell>
          <cell r="E899">
            <v>0</v>
          </cell>
          <cell r="G899">
            <v>0</v>
          </cell>
        </row>
        <row r="900">
          <cell r="A900" t="str">
            <v>37-1000404-700</v>
          </cell>
          <cell r="B900" t="str">
            <v>CABLE ASSY, SINGLEFLEX, 6MM2, RING-BOOTLACE, EARTH</v>
          </cell>
          <cell r="E900">
            <v>14.37565</v>
          </cell>
          <cell r="G900">
            <v>49</v>
          </cell>
        </row>
        <row r="901">
          <cell r="A901" t="str">
            <v>37-1000414-01</v>
          </cell>
          <cell r="B901" t="str">
            <v>CABLE ASSY, MC6 - RST, TAMP, FER2</v>
          </cell>
          <cell r="E901">
            <v>136.5</v>
          </cell>
          <cell r="G901">
            <v>0</v>
          </cell>
        </row>
        <row r="902">
          <cell r="A902" t="str">
            <v>37-1000414-700</v>
          </cell>
          <cell r="B902" t="str">
            <v>Cable Assy, MC6 - RST/ TAMP/FER2</v>
          </cell>
          <cell r="E902">
            <v>0</v>
          </cell>
          <cell r="G902">
            <v>0</v>
          </cell>
        </row>
        <row r="903">
          <cell r="A903" t="str">
            <v>37-1000415-01</v>
          </cell>
          <cell r="B903" t="str">
            <v>CABLE ASSY, MC4 - FER3</v>
          </cell>
          <cell r="E903">
            <v>34</v>
          </cell>
          <cell r="G903">
            <v>0</v>
          </cell>
        </row>
        <row r="904">
          <cell r="A904" t="str">
            <v>37-1000415-150</v>
          </cell>
          <cell r="B904" t="str">
            <v>Cable Assy, MC4 - 3FER</v>
          </cell>
          <cell r="E904">
            <v>0</v>
          </cell>
          <cell r="G904">
            <v>0</v>
          </cell>
        </row>
        <row r="905">
          <cell r="A905" t="str">
            <v>37-1000415-400</v>
          </cell>
          <cell r="B905" t="str">
            <v>Cable Assy, MC4 - FER3</v>
          </cell>
          <cell r="E905">
            <v>29.6</v>
          </cell>
          <cell r="G905">
            <v>56</v>
          </cell>
        </row>
        <row r="906">
          <cell r="A906" t="str">
            <v>37-1000415-550</v>
          </cell>
          <cell r="B906" t="str">
            <v>CABLE ASSY, MC4-FER3</v>
          </cell>
          <cell r="E906">
            <v>28.9</v>
          </cell>
          <cell r="G906">
            <v>2006</v>
          </cell>
        </row>
        <row r="907">
          <cell r="A907" t="str">
            <v>37-1000425-01</v>
          </cell>
          <cell r="B907" t="str">
            <v>CABLE ASSY, FER3 - FER3</v>
          </cell>
          <cell r="E907">
            <v>26.9</v>
          </cell>
          <cell r="G907">
            <v>0</v>
          </cell>
        </row>
        <row r="908">
          <cell r="A908" t="str">
            <v>37-1000425-100</v>
          </cell>
          <cell r="B908" t="str">
            <v>Cable Assy, FER3 - FER3</v>
          </cell>
          <cell r="E908">
            <v>0</v>
          </cell>
          <cell r="G908">
            <v>0</v>
          </cell>
        </row>
        <row r="909">
          <cell r="A909" t="str">
            <v>37-1000440-01</v>
          </cell>
          <cell r="B909" t="str">
            <v>CABLE ASSY, SINGLEFLEX, 2.5MM2, EARTH, RING, BOOTLACE</v>
          </cell>
          <cell r="E909">
            <v>0</v>
          </cell>
          <cell r="G909">
            <v>0</v>
          </cell>
        </row>
        <row r="910">
          <cell r="A910" t="str">
            <v>37-1000440-200</v>
          </cell>
          <cell r="B910" t="str">
            <v>CABLE ASSY, SINGLEFLEX, 2.5MM2, RING-TIN, EARTH</v>
          </cell>
          <cell r="E910">
            <v>0</v>
          </cell>
          <cell r="G910">
            <v>0</v>
          </cell>
        </row>
        <row r="911">
          <cell r="A911" t="str">
            <v>37-1000440-220</v>
          </cell>
          <cell r="B911" t="str">
            <v>CABLE ASSY, SINGLEFLEX, 2.5MM2, RING-TIN, EARTH</v>
          </cell>
          <cell r="E911">
            <v>5.52</v>
          </cell>
          <cell r="G911">
            <v>231</v>
          </cell>
        </row>
        <row r="912">
          <cell r="A912" t="str">
            <v>37-1000457-01</v>
          </cell>
          <cell r="B912" t="str">
            <v>CABLE ASSY, SINGLEFLEX, 2.5MM2, EARTH, RING, RING</v>
          </cell>
          <cell r="E912">
            <v>0</v>
          </cell>
          <cell r="G912">
            <v>0</v>
          </cell>
        </row>
        <row r="913">
          <cell r="A913" t="str">
            <v>37-1000457-02</v>
          </cell>
          <cell r="B913" t="str">
            <v>CABLE ASSY, SINGLEFLEX, 2.5MM2, EARTH, RING, RING</v>
          </cell>
          <cell r="E913">
            <v>0</v>
          </cell>
          <cell r="G913">
            <v>0</v>
          </cell>
        </row>
        <row r="914">
          <cell r="A914" t="str">
            <v>37-1000516-250</v>
          </cell>
          <cell r="B914" t="str">
            <v>CABLE ASSY, SINGLEFLEX, 0.25MM2, RING-TIN, RED</v>
          </cell>
          <cell r="E914">
            <v>1.75</v>
          </cell>
          <cell r="G914">
            <v>2305</v>
          </cell>
        </row>
        <row r="915">
          <cell r="A915" t="str">
            <v>37-1000517-250</v>
          </cell>
          <cell r="B915" t="str">
            <v>CABLE ASSY, SINGLEFLEX, 0.25MM2, RING-TIN, BLACK</v>
          </cell>
          <cell r="E915">
            <v>1.7275</v>
          </cell>
          <cell r="G915">
            <v>603</v>
          </cell>
        </row>
        <row r="916">
          <cell r="A916" t="str">
            <v>37-1000518-100</v>
          </cell>
          <cell r="B916" t="str">
            <v>CABLE ASSY, SINGLEFLEX, 1MM2, TIN-TIN, RED</v>
          </cell>
          <cell r="E916">
            <v>0.99819999999999998</v>
          </cell>
          <cell r="G916">
            <v>656</v>
          </cell>
        </row>
        <row r="917">
          <cell r="A917" t="str">
            <v>37-1000518-120</v>
          </cell>
          <cell r="B917" t="str">
            <v>CABLE ASSY, SINGLE FLEX, 1MM2, TIN-TIN, RED</v>
          </cell>
          <cell r="E917">
            <v>1.05983</v>
          </cell>
          <cell r="G917">
            <v>300</v>
          </cell>
        </row>
        <row r="918">
          <cell r="A918" t="str">
            <v>37-1000518-90</v>
          </cell>
          <cell r="B918" t="str">
            <v>CABLE ASSY,SINGLE FLEX, 1MM2,  BOOTLACE-SPADE FERRULE</v>
          </cell>
          <cell r="E918">
            <v>0.96738000000000002</v>
          </cell>
          <cell r="G918">
            <v>503</v>
          </cell>
        </row>
        <row r="919">
          <cell r="A919" t="str">
            <v>37-1000519-100</v>
          </cell>
          <cell r="B919" t="str">
            <v>CABLE ASSY, SINGLEFLEX, 1MM2, TIN-TIN, BLACK</v>
          </cell>
          <cell r="E919">
            <v>1.0183</v>
          </cell>
          <cell r="G919">
            <v>884</v>
          </cell>
        </row>
        <row r="920">
          <cell r="A920" t="str">
            <v>37-1000519-120</v>
          </cell>
          <cell r="B920" t="str">
            <v>CABLE ASSY, SINGLE FLEX, 1MM2, TIN-TIN-BLACK</v>
          </cell>
          <cell r="E920">
            <v>1.10521</v>
          </cell>
          <cell r="G920">
            <v>284</v>
          </cell>
        </row>
        <row r="921">
          <cell r="A921" t="str">
            <v>37-1000525-100</v>
          </cell>
          <cell r="B921" t="str">
            <v>CABLE ASSY, SINGLEFLEX, 1MM2, BOOTLACE FERRULE-TIN, BLACK</v>
          </cell>
          <cell r="E921">
            <v>0.10920000000000001</v>
          </cell>
          <cell r="G921">
            <v>0</v>
          </cell>
        </row>
        <row r="922">
          <cell r="A922" t="str">
            <v>37-1000692-100</v>
          </cell>
          <cell r="B922" t="str">
            <v>CABLE ASSY, CAT5E, TIN-TIN, 100mm</v>
          </cell>
          <cell r="E922">
            <v>1.6419999999999999</v>
          </cell>
          <cell r="G922">
            <v>0</v>
          </cell>
        </row>
        <row r="923">
          <cell r="A923" t="str">
            <v>37-1000692-150</v>
          </cell>
          <cell r="B923" t="str">
            <v>Cable Assy, Cat5e, Tin-Tin</v>
          </cell>
          <cell r="E923">
            <v>8.0359999999999996</v>
          </cell>
          <cell r="G923">
            <v>0</v>
          </cell>
        </row>
        <row r="924">
          <cell r="A924" t="str">
            <v>37-1000692-200</v>
          </cell>
          <cell r="B924" t="str">
            <v>CABLE ASSY, CAT5E, TIN-TIN</v>
          </cell>
          <cell r="E924">
            <v>8.2247800000000009</v>
          </cell>
          <cell r="G924">
            <v>161</v>
          </cell>
        </row>
        <row r="925">
          <cell r="A925" t="str">
            <v>37-1000692-300</v>
          </cell>
          <cell r="B925" t="str">
            <v>CABLE ASSY, CAT5E, TIN-TIN</v>
          </cell>
          <cell r="E925">
            <v>5.6811100000000003</v>
          </cell>
          <cell r="G925">
            <v>700</v>
          </cell>
        </row>
        <row r="926">
          <cell r="A926" t="str">
            <v>37-1000692-500</v>
          </cell>
          <cell r="B926" t="str">
            <v>CABLE ASSY, CAT5E, TIN-TIN</v>
          </cell>
          <cell r="E926">
            <v>8.2200000000000006</v>
          </cell>
          <cell r="G926">
            <v>0</v>
          </cell>
        </row>
        <row r="927">
          <cell r="A927" t="str">
            <v>37-1000694</v>
          </cell>
          <cell r="B927" t="str">
            <v>Cable Assy, Cat5e, RJ45-Tin</v>
          </cell>
          <cell r="E927">
            <v>11.3375</v>
          </cell>
          <cell r="G927">
            <v>0</v>
          </cell>
        </row>
        <row r="928">
          <cell r="A928" t="str">
            <v>37-1000694-500</v>
          </cell>
          <cell r="B928" t="str">
            <v>CABLE ASSY, CAT5E, RJ45-TIN, 500mm</v>
          </cell>
          <cell r="E928">
            <v>10.446960000000001</v>
          </cell>
          <cell r="G928">
            <v>799</v>
          </cell>
        </row>
        <row r="929">
          <cell r="A929" t="str">
            <v>37-1000695-500</v>
          </cell>
          <cell r="B929" t="str">
            <v>CABLE ASSY, CAT5E, LIMIT-TIN</v>
          </cell>
          <cell r="E929">
            <v>18.77721</v>
          </cell>
          <cell r="G929">
            <v>201</v>
          </cell>
        </row>
        <row r="930">
          <cell r="A930" t="str">
            <v>37-1000695-750</v>
          </cell>
          <cell r="B930" t="str">
            <v>Cable Assy, Cat5e, Limit-Tin</v>
          </cell>
          <cell r="E930">
            <v>25.777000000000001</v>
          </cell>
          <cell r="G930">
            <v>0</v>
          </cell>
        </row>
        <row r="931">
          <cell r="A931" t="str">
            <v>37-1000695-850</v>
          </cell>
          <cell r="B931" t="str">
            <v>CABLE ASSY, CAT5E, LIMIT-TIN, 850mm</v>
          </cell>
          <cell r="E931">
            <v>24.149760000000001</v>
          </cell>
          <cell r="G931">
            <v>245</v>
          </cell>
        </row>
        <row r="932">
          <cell r="A932" t="str">
            <v>37-1000696-400</v>
          </cell>
          <cell r="B932" t="str">
            <v>Cable Assy, Cat5e, x2 RESET-Tin</v>
          </cell>
          <cell r="E932">
            <v>31.268999999999998</v>
          </cell>
          <cell r="G932">
            <v>0</v>
          </cell>
        </row>
        <row r="933">
          <cell r="A933" t="str">
            <v>37-1000696-500</v>
          </cell>
          <cell r="B933" t="str">
            <v>CABLE ASSY, CAT5E, RESET-TIN, 500mm</v>
          </cell>
          <cell r="E933">
            <v>24.34751</v>
          </cell>
          <cell r="G933">
            <v>366</v>
          </cell>
        </row>
        <row r="934">
          <cell r="A934" t="str">
            <v>37-1000754-100</v>
          </cell>
          <cell r="B934" t="str">
            <v>CABLE ASSY, SINGLEFLEX, 1MM2, TIN-TIN, EARTH</v>
          </cell>
          <cell r="E934">
            <v>0.97333000000000003</v>
          </cell>
          <cell r="G934">
            <v>300</v>
          </cell>
        </row>
        <row r="935">
          <cell r="A935" t="str">
            <v>37-1000755-150</v>
          </cell>
          <cell r="B935" t="str">
            <v xml:space="preserve">CABLE ASSY, PV, 6MM2, TIN-TIN, RED </v>
          </cell>
          <cell r="E935">
            <v>0</v>
          </cell>
          <cell r="G935">
            <v>0</v>
          </cell>
        </row>
        <row r="936">
          <cell r="A936" t="str">
            <v>37-1000755-200</v>
          </cell>
          <cell r="B936" t="str">
            <v xml:space="preserve">CABLE ASSY, PV, 6MM2, TIN-TIN, RED </v>
          </cell>
          <cell r="E936">
            <v>0</v>
          </cell>
          <cell r="G936">
            <v>0</v>
          </cell>
        </row>
        <row r="937">
          <cell r="A937" t="str">
            <v>37-1000755-250</v>
          </cell>
          <cell r="B937" t="str">
            <v xml:space="preserve">CABLE ASSY, PV, 6MM2, TIN-TIN, RED </v>
          </cell>
          <cell r="E937">
            <v>0</v>
          </cell>
          <cell r="G937">
            <v>0</v>
          </cell>
        </row>
        <row r="938">
          <cell r="A938" t="str">
            <v>37-1000755-300</v>
          </cell>
          <cell r="B938" t="str">
            <v xml:space="preserve">CABLE ASSY, PV, 6MM2, TIN-TIN, RED </v>
          </cell>
          <cell r="E938">
            <v>0</v>
          </cell>
          <cell r="G938">
            <v>0</v>
          </cell>
        </row>
        <row r="939">
          <cell r="A939" t="str">
            <v>37-1000755-400</v>
          </cell>
          <cell r="B939" t="str">
            <v xml:space="preserve">CABLE ASSY, PV, 6MM2, TIN-TIN, RED </v>
          </cell>
          <cell r="E939">
            <v>0</v>
          </cell>
          <cell r="G939">
            <v>0</v>
          </cell>
        </row>
        <row r="940">
          <cell r="A940" t="str">
            <v>37-1000756-150</v>
          </cell>
          <cell r="B940" t="str">
            <v xml:space="preserve">CABLE ASSY, PV, 6MM2, TIN-TIN, BLACK </v>
          </cell>
          <cell r="E940">
            <v>0</v>
          </cell>
          <cell r="G940">
            <v>0</v>
          </cell>
        </row>
        <row r="941">
          <cell r="A941" t="str">
            <v>37-1000756-200</v>
          </cell>
          <cell r="B941" t="str">
            <v xml:space="preserve">CABLE ASSY, PV, 6MM2, TIN-TIN, BLACK </v>
          </cell>
          <cell r="E941">
            <v>0</v>
          </cell>
          <cell r="G941">
            <v>0</v>
          </cell>
        </row>
        <row r="942">
          <cell r="A942" t="str">
            <v>37-1000756-250</v>
          </cell>
          <cell r="B942" t="str">
            <v xml:space="preserve">CABLE ASSY, PV, 6MM2, TIN-TIN, BLACK </v>
          </cell>
          <cell r="E942">
            <v>0</v>
          </cell>
          <cell r="G942">
            <v>0</v>
          </cell>
        </row>
        <row r="943">
          <cell r="A943" t="str">
            <v>37-1000756-300</v>
          </cell>
          <cell r="B943" t="str">
            <v xml:space="preserve">CABLE ASSY, PV, 6MM2, TIN-TIN, BLACK </v>
          </cell>
          <cell r="E943">
            <v>0</v>
          </cell>
          <cell r="G943">
            <v>0</v>
          </cell>
        </row>
        <row r="944">
          <cell r="A944" t="str">
            <v>37-1000756-400</v>
          </cell>
          <cell r="B944" t="str">
            <v xml:space="preserve">CABLE ASSY, PV, 6MM2, TIN-TIN, BLACK </v>
          </cell>
          <cell r="E944">
            <v>0</v>
          </cell>
          <cell r="G944">
            <v>0</v>
          </cell>
        </row>
        <row r="945">
          <cell r="A945" t="str">
            <v>37-1000757-800</v>
          </cell>
          <cell r="B945" t="str">
            <v>Cable Assy, PV, 10mm2, Blade-Pin, Red</v>
          </cell>
          <cell r="E945">
            <v>32.543129999999998</v>
          </cell>
          <cell r="G945">
            <v>0</v>
          </cell>
        </row>
        <row r="946">
          <cell r="A946" t="str">
            <v>37-1000757-900</v>
          </cell>
          <cell r="B946" t="str">
            <v xml:space="preserve">Cable assy, PV, 10mm2, Bootlace-Bootlace, Red </v>
          </cell>
          <cell r="E946">
            <v>31.99042</v>
          </cell>
          <cell r="G946">
            <v>46</v>
          </cell>
        </row>
        <row r="947">
          <cell r="A947" t="str">
            <v>37-1000758-800</v>
          </cell>
          <cell r="B947" t="str">
            <v>Cable Assy, PV, 10mm2, Blade-Pin, Black </v>
          </cell>
          <cell r="E947">
            <v>31.955469999999998</v>
          </cell>
          <cell r="G947">
            <v>1</v>
          </cell>
        </row>
        <row r="948">
          <cell r="A948" t="str">
            <v>37-1000758-900</v>
          </cell>
          <cell r="B948" t="str">
            <v xml:space="preserve">Cable assy, PV, 10mm2, Bootlace-Bootlace, Black </v>
          </cell>
          <cell r="E948">
            <v>22.274999999999999</v>
          </cell>
          <cell r="G948">
            <v>14</v>
          </cell>
        </row>
        <row r="949">
          <cell r="A949" t="str">
            <v>37-1000761-500</v>
          </cell>
          <cell r="B949" t="str">
            <v>CABLE ASSY, CABTYRE, 4MM2, 3 CORE, 200-50</v>
          </cell>
          <cell r="E949">
            <v>43.272629999999999</v>
          </cell>
          <cell r="G949">
            <v>127</v>
          </cell>
        </row>
        <row r="950">
          <cell r="A950" t="str">
            <v>37-1000761-650</v>
          </cell>
          <cell r="B950" t="str">
            <v>CABLE ASSY, CABTYRE, 4MM2, 3 CORE, 200-50</v>
          </cell>
          <cell r="E950">
            <v>47.77807</v>
          </cell>
          <cell r="G950">
            <v>134</v>
          </cell>
        </row>
        <row r="951">
          <cell r="A951" t="str">
            <v>37-1000762-900</v>
          </cell>
          <cell r="B951" t="str">
            <v>CABLE ASSSY, 4PIN-RESET, YELLOW</v>
          </cell>
          <cell r="E951">
            <v>22.08492</v>
          </cell>
          <cell r="G951">
            <v>0</v>
          </cell>
        </row>
        <row r="952">
          <cell r="A952" t="str">
            <v>37-1000843</v>
          </cell>
          <cell r="B952" t="str">
            <v>CABLE ASSY, DC6-DC4-DC2</v>
          </cell>
          <cell r="E952">
            <v>154.83143000000001</v>
          </cell>
          <cell r="G952">
            <v>2298</v>
          </cell>
        </row>
        <row r="953">
          <cell r="A953" t="str">
            <v>37-1000872</v>
          </cell>
          <cell r="B953" t="str">
            <v>CABLE ASSY, RJ45-TAMP-RST</v>
          </cell>
          <cell r="E953">
            <v>84</v>
          </cell>
          <cell r="G953">
            <v>275</v>
          </cell>
        </row>
        <row r="954">
          <cell r="A954" t="str">
            <v>37-1000872-500</v>
          </cell>
          <cell r="B954" t="str">
            <v>Cable Assy, RJ45 - Tamp - RST</v>
          </cell>
          <cell r="E954">
            <v>0</v>
          </cell>
          <cell r="G954">
            <v>0</v>
          </cell>
        </row>
        <row r="955">
          <cell r="A955" t="str">
            <v>37-1000929-130</v>
          </cell>
          <cell r="B955" t="str">
            <v>CABLE ASSY, PERMOPOWER, 25MM2, RING-BOOTLACE, RED</v>
          </cell>
          <cell r="E955">
            <v>0</v>
          </cell>
          <cell r="G955">
            <v>0</v>
          </cell>
        </row>
        <row r="956">
          <cell r="A956" t="str">
            <v>37-1000929-450</v>
          </cell>
          <cell r="B956" t="str">
            <v>CABLE ASSY, PERMOPOWER, 25MM2, RING-BOOTLACE, RED</v>
          </cell>
          <cell r="E956">
            <v>46.685920000000003</v>
          </cell>
          <cell r="G956">
            <v>200</v>
          </cell>
        </row>
        <row r="957">
          <cell r="A957" t="str">
            <v>37-1000966</v>
          </cell>
          <cell r="B957" t="str">
            <v>Cable Assy, Singleflex, 2.5mm2, 10mm2, T3, Red</v>
          </cell>
          <cell r="E957">
            <v>0</v>
          </cell>
          <cell r="G957">
            <v>0</v>
          </cell>
        </row>
        <row r="958">
          <cell r="A958" t="str">
            <v>37-1000971-780</v>
          </cell>
          <cell r="B958" t="str">
            <v>Cable Assy, Permopower, 35mm2, Ring-Plug, Red</v>
          </cell>
          <cell r="E958">
            <v>209.84572</v>
          </cell>
          <cell r="G958">
            <v>315</v>
          </cell>
        </row>
        <row r="959">
          <cell r="A959" t="str">
            <v>37-1000979</v>
          </cell>
          <cell r="B959" t="str">
            <v>Cable Assy, Singleflex, 2.5mm2, 10mm2, T4, Red</v>
          </cell>
          <cell r="E959">
            <v>0</v>
          </cell>
          <cell r="G959">
            <v>0</v>
          </cell>
        </row>
        <row r="960">
          <cell r="A960" t="str">
            <v>37-1000983</v>
          </cell>
          <cell r="B960" t="str">
            <v>Cable Assy, Singleflex, 2.5mm2, 10mm2, T4, Black</v>
          </cell>
          <cell r="E960">
            <v>0</v>
          </cell>
          <cell r="G960">
            <v>0</v>
          </cell>
        </row>
        <row r="961">
          <cell r="A961" t="str">
            <v>37-1000984</v>
          </cell>
          <cell r="B961" t="str">
            <v>Cable Assy, Singleflex, 2.5mm2, 10mm2, T3, Black</v>
          </cell>
          <cell r="E961">
            <v>0</v>
          </cell>
          <cell r="G961">
            <v>0</v>
          </cell>
        </row>
        <row r="962">
          <cell r="A962" t="str">
            <v>37-1000987</v>
          </cell>
          <cell r="B962" t="str">
            <v>CABLE ASSY, MYLAR PAIRS, 0,22MM2, POWER BUTTON, VOLTA</v>
          </cell>
          <cell r="E962">
            <v>0</v>
          </cell>
          <cell r="G962">
            <v>0</v>
          </cell>
        </row>
        <row r="963">
          <cell r="A963" t="str">
            <v>37-1000990</v>
          </cell>
          <cell r="B963" t="str">
            <v>Cable Assy, Singleflex, 1mm2, 10mm2, T4, Black</v>
          </cell>
          <cell r="E963">
            <v>0</v>
          </cell>
          <cell r="G963">
            <v>0</v>
          </cell>
        </row>
        <row r="964">
          <cell r="A964" t="str">
            <v>37-1000991</v>
          </cell>
          <cell r="B964" t="str">
            <v>Cable Assy, Singleflex, 1mm2, 10mm2, T3, Black</v>
          </cell>
          <cell r="E964">
            <v>0</v>
          </cell>
          <cell r="G964">
            <v>0</v>
          </cell>
        </row>
        <row r="965">
          <cell r="A965" t="str">
            <v>37-1000992</v>
          </cell>
          <cell r="B965" t="str">
            <v>Cable Assy, Singleflex, 10mm2, T3, Red</v>
          </cell>
          <cell r="E965">
            <v>0</v>
          </cell>
          <cell r="G965">
            <v>0</v>
          </cell>
        </row>
        <row r="966">
          <cell r="A966" t="str">
            <v>37-1000994</v>
          </cell>
          <cell r="B966" t="str">
            <v>CABLE ASSY, SINGLEFLEX, 2.5MM2, 10MM2, T4, RED</v>
          </cell>
          <cell r="E966">
            <v>50.302410000000002</v>
          </cell>
          <cell r="G966">
            <v>342</v>
          </cell>
        </row>
        <row r="967">
          <cell r="A967" t="str">
            <v>37-1000995</v>
          </cell>
          <cell r="B967" t="str">
            <v>CABLE ASSY, SINGLEFLEX, 2.5MM2, 10MM2, T4, BLACK</v>
          </cell>
          <cell r="E967">
            <v>50.888840000000002</v>
          </cell>
          <cell r="G967">
            <v>376</v>
          </cell>
        </row>
        <row r="968">
          <cell r="A968" t="str">
            <v>37-1000996</v>
          </cell>
          <cell r="B968" t="str">
            <v>CABLE ASSY, SINGLEFLEX, 2.5MM2, 10MM2, T3, RED</v>
          </cell>
          <cell r="E968">
            <v>37.795189999999998</v>
          </cell>
          <cell r="G968">
            <v>337</v>
          </cell>
        </row>
        <row r="969">
          <cell r="A969" t="str">
            <v>37-1000997</v>
          </cell>
          <cell r="B969" t="str">
            <v>CABLE ASSY, SINGLEFLEX, 2.5MM2, 10MM2, T3, BLACK</v>
          </cell>
          <cell r="E969">
            <v>38.693559999999998</v>
          </cell>
          <cell r="G969">
            <v>366</v>
          </cell>
        </row>
        <row r="970">
          <cell r="A970" t="str">
            <v>37-1000998</v>
          </cell>
          <cell r="B970" t="str">
            <v>Cable Assy, Singleflex,1mm2, 16mm2, T3, Black</v>
          </cell>
          <cell r="E970">
            <v>41.327500000000001</v>
          </cell>
          <cell r="G970">
            <v>386</v>
          </cell>
        </row>
        <row r="971">
          <cell r="A971" t="str">
            <v>37-1001022-150</v>
          </cell>
          <cell r="B971" t="str">
            <v>Cable Assy, Singleflex, 2.5mm2, Bootlace - Bootlace, Red</v>
          </cell>
          <cell r="E971">
            <v>4.1974999999999998</v>
          </cell>
          <cell r="G971">
            <v>40</v>
          </cell>
        </row>
        <row r="972">
          <cell r="A972" t="str">
            <v>37-1001022-200</v>
          </cell>
          <cell r="B972" t="str">
            <v>Cable Assy, Singleflex, 2.5mm2, Bootlace - Bootlace, Red</v>
          </cell>
          <cell r="E972">
            <v>4.5715399999999997</v>
          </cell>
          <cell r="G972">
            <v>0</v>
          </cell>
        </row>
        <row r="973">
          <cell r="A973" t="str">
            <v>37-1001022-300</v>
          </cell>
          <cell r="B973" t="str">
            <v>Cable Assy, Singleflex, 2.5mm2, Bootlace-Bootlace, Red</v>
          </cell>
          <cell r="E973">
            <v>4.4497400000000003</v>
          </cell>
          <cell r="G973">
            <v>38</v>
          </cell>
        </row>
        <row r="974">
          <cell r="A974" t="str">
            <v>37-1001022-350</v>
          </cell>
          <cell r="B974" t="str">
            <v>Cable Assy, Singleflex, 2.5mm2, Bootlace - Bootlace, Red</v>
          </cell>
          <cell r="E974">
            <v>5.4050000000000002</v>
          </cell>
          <cell r="G974">
            <v>4</v>
          </cell>
        </row>
        <row r="975">
          <cell r="A975" t="str">
            <v>37-1001023-100</v>
          </cell>
          <cell r="B975" t="str">
            <v>Cable, Singleflex, 2,5mm2, Black</v>
          </cell>
          <cell r="E975">
            <v>3.8235000000000001</v>
          </cell>
          <cell r="G975">
            <v>0</v>
          </cell>
        </row>
        <row r="976">
          <cell r="A976" t="str">
            <v>37-1001023-150</v>
          </cell>
          <cell r="B976" t="str">
            <v>Cable, Singleflex, 2,5mm2, Black</v>
          </cell>
          <cell r="E976">
            <v>4.1929499999999997</v>
          </cell>
          <cell r="G976">
            <v>60</v>
          </cell>
        </row>
        <row r="977">
          <cell r="A977" t="str">
            <v>37-1001023-300</v>
          </cell>
          <cell r="B977" t="str">
            <v>Cable, Singleflex, 2,5mm2, Black</v>
          </cell>
          <cell r="E977">
            <v>5.0776700000000003</v>
          </cell>
          <cell r="G977">
            <v>43</v>
          </cell>
        </row>
        <row r="978">
          <cell r="A978" t="str">
            <v>37-1001023-500</v>
          </cell>
          <cell r="B978" t="str">
            <v>Cable Assy, Singleflex, 2.5mm2, Bootlace - Bootlace, Black</v>
          </cell>
          <cell r="E978">
            <v>6.4391999999999996</v>
          </cell>
          <cell r="G978">
            <v>0</v>
          </cell>
        </row>
        <row r="979">
          <cell r="A979" t="str">
            <v>37-1001025</v>
          </cell>
          <cell r="B979" t="str">
            <v>Cable Assy, Singleflex, 2.5mm2, 10mm2, T3, Red</v>
          </cell>
          <cell r="E979">
            <v>0</v>
          </cell>
          <cell r="G979">
            <v>0</v>
          </cell>
        </row>
        <row r="980">
          <cell r="A980" t="str">
            <v>37-1001027</v>
          </cell>
          <cell r="B980" t="str">
            <v>Cable Assy, Singleflex, 10mm2, T3, Black</v>
          </cell>
          <cell r="E980">
            <v>62.53143</v>
          </cell>
          <cell r="G980">
            <v>21</v>
          </cell>
        </row>
        <row r="981">
          <cell r="A981" t="str">
            <v>37-1001029-220</v>
          </cell>
          <cell r="B981" t="str">
            <v>CABLE ASSY, PERMOPOWER, 16MM2, RING, RING, BLACK</v>
          </cell>
          <cell r="E981">
            <v>0</v>
          </cell>
          <cell r="G981">
            <v>0</v>
          </cell>
        </row>
        <row r="982">
          <cell r="A982" t="str">
            <v>37-1001029-320</v>
          </cell>
          <cell r="B982" t="str">
            <v>Cable Assy, Permopower, 16mm2, Ring, Ring, Black</v>
          </cell>
          <cell r="E982">
            <v>26.477139999999999</v>
          </cell>
          <cell r="G982">
            <v>398</v>
          </cell>
        </row>
        <row r="983">
          <cell r="A983" t="str">
            <v>37-1001043-130</v>
          </cell>
          <cell r="B983" t="str">
            <v>CABLE ASSY, PERMOPOWER, 25MM2, RING-RING, RED</v>
          </cell>
          <cell r="E983">
            <v>0</v>
          </cell>
          <cell r="G983">
            <v>0</v>
          </cell>
        </row>
        <row r="984">
          <cell r="A984" t="str">
            <v>37-1001052</v>
          </cell>
          <cell r="B984" t="str">
            <v>Cable Assy,  Power Button, Akira</v>
          </cell>
          <cell r="E984">
            <v>0</v>
          </cell>
          <cell r="G984">
            <v>0</v>
          </cell>
        </row>
        <row r="985">
          <cell r="A985" t="str">
            <v>37-1001053-350</v>
          </cell>
          <cell r="B985" t="str">
            <v>Cable, Assy, Permopower, 70mm2, Ring-Ring, Red</v>
          </cell>
          <cell r="E985">
            <v>106.07259999999999</v>
          </cell>
          <cell r="G985">
            <v>50</v>
          </cell>
        </row>
        <row r="986">
          <cell r="A986" t="str">
            <v>37-1001069-500</v>
          </cell>
          <cell r="B986" t="str">
            <v>Cable Assy, Cabtyre, 2.5mm2, Bootlace-Bootlace</v>
          </cell>
          <cell r="E986">
            <v>34.975790000000003</v>
          </cell>
          <cell r="G986">
            <v>38</v>
          </cell>
        </row>
        <row r="987">
          <cell r="A987" t="str">
            <v>37-1001104</v>
          </cell>
          <cell r="B987" t="str">
            <v>Cable Assy, MC-TAMP-RESET-ROT</v>
          </cell>
          <cell r="E987">
            <v>103.79138</v>
          </cell>
          <cell r="G987">
            <v>872</v>
          </cell>
        </row>
        <row r="988">
          <cell r="A988" t="str">
            <v>37-1001105</v>
          </cell>
          <cell r="B988" t="str">
            <v>CABLE ASSY, 0,75MM2, BOOTLACE-BOOTLACE-RING</v>
          </cell>
          <cell r="E988">
            <v>36.999220000000001</v>
          </cell>
          <cell r="G988">
            <v>812</v>
          </cell>
        </row>
        <row r="989">
          <cell r="A989" t="str">
            <v>37-1001133-1350</v>
          </cell>
          <cell r="B989" t="str">
            <v>Cable Assy, RJ12 - Bootlace</v>
          </cell>
          <cell r="E989">
            <v>16.060199999999998</v>
          </cell>
          <cell r="G989">
            <v>0</v>
          </cell>
        </row>
        <row r="990">
          <cell r="A990" t="str">
            <v>37-1001133-1800</v>
          </cell>
          <cell r="B990" t="str">
            <v>Cable Assy, RJ12 - Bootlace</v>
          </cell>
          <cell r="E990">
            <v>16.574000000000002</v>
          </cell>
          <cell r="G990">
            <v>119</v>
          </cell>
        </row>
        <row r="991">
          <cell r="A991" t="str">
            <v>37-1001133-450</v>
          </cell>
          <cell r="B991" t="str">
            <v>Cable Assy, RJ12 - Bootlace</v>
          </cell>
          <cell r="E991">
            <v>8.4289299999999994</v>
          </cell>
          <cell r="G991">
            <v>52</v>
          </cell>
        </row>
        <row r="992">
          <cell r="A992" t="str">
            <v>37-1001133-500</v>
          </cell>
          <cell r="B992" t="str">
            <v>Cable Assy, RJ12 - Bootlace</v>
          </cell>
          <cell r="E992">
            <v>30.5</v>
          </cell>
          <cell r="G992">
            <v>68</v>
          </cell>
        </row>
        <row r="993">
          <cell r="A993" t="str">
            <v>37-1001133-900</v>
          </cell>
          <cell r="B993" t="str">
            <v>Cable Assy, RJ12 - Bootlace</v>
          </cell>
          <cell r="E993">
            <v>26.797180000000001</v>
          </cell>
          <cell r="G993">
            <v>570</v>
          </cell>
        </row>
        <row r="994">
          <cell r="A994" t="str">
            <v>37-1001145-200</v>
          </cell>
          <cell r="B994" t="str">
            <v>Cable, Assy, Permopower, 70mm2, Ring-Ring, Red</v>
          </cell>
          <cell r="E994">
            <v>78.357870000000005</v>
          </cell>
          <cell r="G994">
            <v>116</v>
          </cell>
        </row>
        <row r="995">
          <cell r="A995" t="str">
            <v>37-1001145-350</v>
          </cell>
          <cell r="B995" t="str">
            <v>Cable, Assy, Permopower, 70mm2, Ring-Ring, Red</v>
          </cell>
          <cell r="E995">
            <v>100.589</v>
          </cell>
          <cell r="G995">
            <v>10</v>
          </cell>
        </row>
        <row r="996">
          <cell r="A996" t="str">
            <v>37-1001146-200</v>
          </cell>
          <cell r="B996" t="str">
            <v>Cable, Assy, Permopower, 70mm2, Ring-Ring, Black</v>
          </cell>
          <cell r="E996">
            <v>73.713849999999994</v>
          </cell>
          <cell r="G996">
            <v>11</v>
          </cell>
        </row>
        <row r="997">
          <cell r="A997" t="str">
            <v>37-1001146-350</v>
          </cell>
          <cell r="B997" t="str">
            <v>Cable, Assy, Permopower, 70mm2, Ring-Ring, Black</v>
          </cell>
          <cell r="E997">
            <v>104.95093</v>
          </cell>
          <cell r="G997">
            <v>116</v>
          </cell>
        </row>
        <row r="998">
          <cell r="A998" t="str">
            <v>37-1001147-250</v>
          </cell>
          <cell r="B998" t="str">
            <v>Cable, Assy, Permopower, 50mm2, Ring-Ring, Red</v>
          </cell>
          <cell r="E998">
            <v>62.441879999999998</v>
          </cell>
          <cell r="G998">
            <v>0</v>
          </cell>
        </row>
        <row r="999">
          <cell r="A999" t="str">
            <v>37-1001147-80</v>
          </cell>
          <cell r="B999" t="str">
            <v>Cable, Assy, Permopower, 50mm2, Ring-Ring, Red</v>
          </cell>
          <cell r="E999">
            <v>42.349539999999998</v>
          </cell>
          <cell r="G999">
            <v>164</v>
          </cell>
        </row>
        <row r="1000">
          <cell r="A1000" t="str">
            <v>37-1001148-1600</v>
          </cell>
          <cell r="B1000" t="str">
            <v>Cable, Assy, Permopower, 50mm2, Ring-Ring, Black</v>
          </cell>
          <cell r="E1000">
            <v>0</v>
          </cell>
          <cell r="G1000">
            <v>0</v>
          </cell>
        </row>
        <row r="1001">
          <cell r="A1001" t="str">
            <v>37-1001148-520</v>
          </cell>
          <cell r="B1001" t="str">
            <v>Cable, Assy, Permopower, 50mm2, Ring-Ring, Black</v>
          </cell>
          <cell r="E1001">
            <v>94.667140000000003</v>
          </cell>
          <cell r="G1001">
            <v>14</v>
          </cell>
        </row>
        <row r="1002">
          <cell r="A1002" t="str">
            <v>37-1001148-650</v>
          </cell>
          <cell r="B1002" t="str">
            <v>Cable, Assy, Permopower, 50mm2, Ring-Ring, Black</v>
          </cell>
          <cell r="E1002">
            <v>108.99352</v>
          </cell>
          <cell r="G1002">
            <v>149</v>
          </cell>
        </row>
        <row r="1003">
          <cell r="A1003" t="str">
            <v>37-1001150-300</v>
          </cell>
          <cell r="B1003" t="str">
            <v>Cable Assy, Singleflex, 6mm2, Ring-Ring, Earth</v>
          </cell>
          <cell r="E1003">
            <v>0</v>
          </cell>
          <cell r="G1003">
            <v>0</v>
          </cell>
        </row>
        <row r="1004">
          <cell r="A1004" t="str">
            <v>37-1001150-400</v>
          </cell>
          <cell r="B1004" t="str">
            <v>Cable Assy, Singleflex, 6mm2, Ring-Ring, Earth</v>
          </cell>
          <cell r="E1004">
            <v>0</v>
          </cell>
          <cell r="G1004">
            <v>0</v>
          </cell>
        </row>
        <row r="1005">
          <cell r="A1005" t="str">
            <v>37-1001150-700</v>
          </cell>
          <cell r="B1005" t="str">
            <v>Cable Assy, Singleflex, 6mm2, Ring-Ring, Earth</v>
          </cell>
          <cell r="E1005">
            <v>8.11416</v>
          </cell>
          <cell r="G1005">
            <v>226</v>
          </cell>
        </row>
        <row r="1006">
          <cell r="A1006" t="str">
            <v>37-1001150-800</v>
          </cell>
          <cell r="B1006" t="str">
            <v>Cable Assy, Singleflex, 6mm2, Ring-Ring, Earth</v>
          </cell>
          <cell r="E1006">
            <v>0</v>
          </cell>
          <cell r="G1006">
            <v>0</v>
          </cell>
        </row>
        <row r="1007">
          <cell r="A1007" t="str">
            <v>37-1001150-850</v>
          </cell>
          <cell r="B1007" t="str">
            <v>Cable Assy, Singleflex, 6mm2, Ring-Ring, Earth</v>
          </cell>
          <cell r="E1007">
            <v>19.412479999999999</v>
          </cell>
          <cell r="G1007">
            <v>105</v>
          </cell>
        </row>
        <row r="1008">
          <cell r="A1008" t="str">
            <v>37-1001218</v>
          </cell>
          <cell r="B1008" t="str">
            <v>Cable Assy, Singleflex, 10mm2, 16mm2, T3, Black</v>
          </cell>
          <cell r="E1008">
            <v>68.8</v>
          </cell>
          <cell r="G1008">
            <v>1</v>
          </cell>
        </row>
        <row r="1009">
          <cell r="A1009" t="str">
            <v>37-1001219-170</v>
          </cell>
          <cell r="B1009" t="str">
            <v>Cable Assy, Permopower, 25mm2, Ring-Bootlace, Red</v>
          </cell>
          <cell r="E1009">
            <v>31.836379999999998</v>
          </cell>
          <cell r="G1009">
            <v>311</v>
          </cell>
        </row>
        <row r="1010">
          <cell r="A1010" t="str">
            <v>37-1001219-450</v>
          </cell>
          <cell r="B1010" t="str">
            <v>Cable Assy, Permopower, 25mm2, Ring-Bootlace, Red</v>
          </cell>
          <cell r="E1010">
            <v>56.95</v>
          </cell>
          <cell r="G1010">
            <v>3</v>
          </cell>
        </row>
        <row r="1011">
          <cell r="A1011" t="str">
            <v>37-1001222-100</v>
          </cell>
          <cell r="B1011" t="str">
            <v xml:space="preserve">Cable Assy, Singleflex, 16mm2, Blade-Blade, Red </v>
          </cell>
          <cell r="E1011">
            <v>21.175000000000001</v>
          </cell>
          <cell r="G1011">
            <v>77</v>
          </cell>
        </row>
        <row r="1012">
          <cell r="A1012" t="str">
            <v>37-1001222-1150</v>
          </cell>
          <cell r="B1012" t="str">
            <v>Cable Assy, Single Flex, 16mm², Blade-Blade, Red</v>
          </cell>
          <cell r="E1012">
            <v>65.596500000000006</v>
          </cell>
          <cell r="G1012">
            <v>0</v>
          </cell>
        </row>
        <row r="1013">
          <cell r="A1013" t="str">
            <v>37-1001222-120</v>
          </cell>
          <cell r="B1013" t="str">
            <v>Cable Assy, Single Flex, 16mm², Blade-Blade, Red</v>
          </cell>
          <cell r="E1013">
            <v>23.0228</v>
          </cell>
          <cell r="G1013">
            <v>90</v>
          </cell>
        </row>
        <row r="1014">
          <cell r="A1014" t="str">
            <v>37-1001222-130</v>
          </cell>
          <cell r="B1014" t="str">
            <v>Cable Assy, Single Flex, 16mm², Blade-Blade, Red</v>
          </cell>
          <cell r="E1014">
            <v>24.008569999999999</v>
          </cell>
          <cell r="G1014">
            <v>46</v>
          </cell>
        </row>
        <row r="1015">
          <cell r="A1015" t="str">
            <v>37-1001222-200</v>
          </cell>
          <cell r="B1015" t="str">
            <v xml:space="preserve">Cable Assy, Singleflex, 16mm2, Blade-Blade, Red </v>
          </cell>
          <cell r="E1015">
            <v>28.171150000000001</v>
          </cell>
          <cell r="G1015">
            <v>26</v>
          </cell>
        </row>
        <row r="1016">
          <cell r="A1016" t="str">
            <v>37-1001222-220</v>
          </cell>
          <cell r="B1016" t="str">
            <v>Cable Assy, Singleflex, 16mm², Blade-Blade, Red</v>
          </cell>
          <cell r="E1016">
            <v>0</v>
          </cell>
          <cell r="G1016">
            <v>0</v>
          </cell>
        </row>
        <row r="1017">
          <cell r="A1017" t="str">
            <v>37-1001222-240</v>
          </cell>
          <cell r="B1017" t="str">
            <v xml:space="preserve">Cable Assy, Singleflex, 16mm2, Blade-Blade, Red </v>
          </cell>
          <cell r="E1017">
            <v>30.286899999999999</v>
          </cell>
          <cell r="G1017">
            <v>42</v>
          </cell>
        </row>
        <row r="1018">
          <cell r="A1018" t="str">
            <v>37-1001222-250</v>
          </cell>
          <cell r="B1018" t="str">
            <v>Cable Assy, Singleflex, 16mm², Blade-Blade, Red</v>
          </cell>
          <cell r="E1018">
            <v>30.236799999999999</v>
          </cell>
          <cell r="G1018">
            <v>0</v>
          </cell>
        </row>
        <row r="1019">
          <cell r="A1019" t="str">
            <v>37-1001222-280</v>
          </cell>
          <cell r="B1019" t="str">
            <v>Cable Assy, Singleflex, 16mm², Blade-Blade, Red</v>
          </cell>
          <cell r="E1019">
            <v>0</v>
          </cell>
          <cell r="G1019">
            <v>0</v>
          </cell>
        </row>
        <row r="1020">
          <cell r="A1020" t="str">
            <v>37-1001222-300</v>
          </cell>
          <cell r="B1020" t="str">
            <v xml:space="preserve">Cable Assy, Singleflex, 16mm2, Blade-Blade, Red </v>
          </cell>
          <cell r="E1020">
            <v>50.89</v>
          </cell>
          <cell r="G1020">
            <v>5</v>
          </cell>
        </row>
        <row r="1021">
          <cell r="A1021" t="str">
            <v>37-1001222-320</v>
          </cell>
          <cell r="B1021" t="str">
            <v>Cable Assy, Singleflex, 16mm2, Blade-Blade, Red</v>
          </cell>
          <cell r="E1021">
            <v>29.743600000000001</v>
          </cell>
          <cell r="G1021">
            <v>25</v>
          </cell>
        </row>
        <row r="1022">
          <cell r="A1022" t="str">
            <v>37-1001222-350</v>
          </cell>
          <cell r="B1022" t="str">
            <v>Cable Assy, Single Flex, 16mm², Blade-Blade, Red</v>
          </cell>
          <cell r="E1022">
            <v>34.791640000000001</v>
          </cell>
          <cell r="G1022">
            <v>150</v>
          </cell>
        </row>
        <row r="1023">
          <cell r="A1023" t="str">
            <v>37-1001222-380</v>
          </cell>
          <cell r="B1023" t="str">
            <v>Cable Assy, Singleflex, 16mm², Blade-Blade, Red</v>
          </cell>
          <cell r="E1023">
            <v>0</v>
          </cell>
          <cell r="G1023">
            <v>0</v>
          </cell>
        </row>
        <row r="1024">
          <cell r="A1024" t="str">
            <v>37-1001222-400</v>
          </cell>
          <cell r="B1024" t="str">
            <v xml:space="preserve">Cable Assy, Singleflex, 16mm2, Blade-Blade, Red </v>
          </cell>
          <cell r="E1024">
            <v>34.46</v>
          </cell>
          <cell r="G1024">
            <v>0</v>
          </cell>
        </row>
        <row r="1025">
          <cell r="A1025" t="str">
            <v>37-1001222-430</v>
          </cell>
          <cell r="B1025" t="str">
            <v>Cable Assy, Single Flex, 16mm², Blade-Blade, Red</v>
          </cell>
          <cell r="E1025">
            <v>35.413170000000001</v>
          </cell>
          <cell r="G1025">
            <v>20</v>
          </cell>
        </row>
        <row r="1026">
          <cell r="A1026" t="str">
            <v>37-1001222-450</v>
          </cell>
          <cell r="B1026" t="str">
            <v>Cable Assy, Singleflex, 16mm2, Blade-Blade, Red</v>
          </cell>
          <cell r="E1026">
            <v>54.6755</v>
          </cell>
          <cell r="G1026">
            <v>5</v>
          </cell>
        </row>
        <row r="1027">
          <cell r="A1027" t="str">
            <v>37-1001222-50</v>
          </cell>
          <cell r="B1027" t="str">
            <v xml:space="preserve">Cable Assy, Singleflex, 16mm2, Blade-Blade, Red </v>
          </cell>
          <cell r="E1027">
            <v>22.347999999999999</v>
          </cell>
          <cell r="G1027">
            <v>25</v>
          </cell>
        </row>
        <row r="1028">
          <cell r="A1028" t="str">
            <v>37-1001222-500</v>
          </cell>
          <cell r="B1028" t="str">
            <v xml:space="preserve">Cable Assy, Singleflex, 16mm2, Blade-Blade, Red </v>
          </cell>
          <cell r="E1028">
            <v>55.104230000000001</v>
          </cell>
          <cell r="G1028">
            <v>0</v>
          </cell>
        </row>
        <row r="1029">
          <cell r="A1029" t="str">
            <v>37-1001222-60</v>
          </cell>
          <cell r="B1029" t="str">
            <v xml:space="preserve">Cable Assy, Singleflex, 16mm2, Blade-Blade, Red </v>
          </cell>
          <cell r="E1029">
            <v>22.265999999999998</v>
          </cell>
          <cell r="G1029">
            <v>100</v>
          </cell>
        </row>
        <row r="1030">
          <cell r="A1030" t="str">
            <v>37-1001222-630</v>
          </cell>
          <cell r="B1030" t="str">
            <v>Cable Assy, Single Flex, 16mm², Blade-Blade, Red</v>
          </cell>
          <cell r="E1030">
            <v>43.756500000000003</v>
          </cell>
          <cell r="G1030">
            <v>0</v>
          </cell>
        </row>
        <row r="1031">
          <cell r="A1031" t="str">
            <v>37-1001222-650</v>
          </cell>
          <cell r="B1031" t="str">
            <v xml:space="preserve">Cable Assy, Singleflex, 16mm2, Blade-Blade, Red </v>
          </cell>
          <cell r="E1031">
            <v>65.073999999999998</v>
          </cell>
          <cell r="G1031">
            <v>15</v>
          </cell>
        </row>
        <row r="1032">
          <cell r="A1032" t="str">
            <v>37-1001222-90</v>
          </cell>
          <cell r="B1032" t="str">
            <v xml:space="preserve">Cable Assy, Singleflex, 16mm2, Blade-Blade, Red </v>
          </cell>
          <cell r="E1032">
            <v>29.660640000000001</v>
          </cell>
          <cell r="G1032">
            <v>157</v>
          </cell>
        </row>
        <row r="1033">
          <cell r="A1033" t="str">
            <v>37-1001223-100</v>
          </cell>
          <cell r="B1033" t="str">
            <v>Cable Assy, Singleflex, 16mm2, Blade - Blade, Black</v>
          </cell>
          <cell r="E1033">
            <v>23.764959999999999</v>
          </cell>
          <cell r="G1033">
            <v>65</v>
          </cell>
        </row>
        <row r="1034">
          <cell r="A1034" t="str">
            <v>37-1001223-1100</v>
          </cell>
          <cell r="B1034" t="str">
            <v>Cable Assy, Single Flex, 16mm², Blade-Blade, Black</v>
          </cell>
          <cell r="E1034">
            <v>65.862499999999997</v>
          </cell>
          <cell r="G1034">
            <v>25</v>
          </cell>
        </row>
        <row r="1035">
          <cell r="A1035" t="str">
            <v>37-1001223-120</v>
          </cell>
          <cell r="B1035" t="str">
            <v>Cable Assy, Single Flex, 16mm², Blade-Blade, Black</v>
          </cell>
          <cell r="E1035">
            <v>24.62922</v>
          </cell>
          <cell r="G1035">
            <v>59</v>
          </cell>
        </row>
        <row r="1036">
          <cell r="A1036" t="str">
            <v>37-1001223-200</v>
          </cell>
          <cell r="B1036" t="str">
            <v>Cable Assy, Singleflex, 16mm2, Blade-Blade, Black</v>
          </cell>
          <cell r="E1036">
            <v>33.522080000000003</v>
          </cell>
          <cell r="G1036">
            <v>178</v>
          </cell>
        </row>
        <row r="1037">
          <cell r="A1037" t="str">
            <v>37-1001223-220</v>
          </cell>
          <cell r="B1037" t="str">
            <v>Cable Assy, Singleflex, 16mm², Blade-Blade, Black</v>
          </cell>
          <cell r="E1037">
            <v>0</v>
          </cell>
          <cell r="G1037">
            <v>0</v>
          </cell>
        </row>
        <row r="1038">
          <cell r="A1038" t="str">
            <v>37-1001223-240</v>
          </cell>
          <cell r="B1038" t="str">
            <v>Cable Assy, Single Flex, 16mm², Blade-Blade, Black</v>
          </cell>
          <cell r="E1038">
            <v>28.339020000000001</v>
          </cell>
          <cell r="G1038">
            <v>45</v>
          </cell>
        </row>
        <row r="1039">
          <cell r="A1039" t="str">
            <v>37-1001223-250</v>
          </cell>
          <cell r="B1039" t="str">
            <v>Cable Assy, Singleflex, 16mm2, Blade - Blade, Black</v>
          </cell>
          <cell r="E1039">
            <v>27.726800000000001</v>
          </cell>
          <cell r="G1039">
            <v>25</v>
          </cell>
        </row>
        <row r="1040">
          <cell r="A1040" t="str">
            <v>37-1001223-280</v>
          </cell>
          <cell r="B1040" t="str">
            <v>Cable Assy, Singleflex, 16mm², Blade-Blade, Black</v>
          </cell>
          <cell r="E1040">
            <v>0</v>
          </cell>
          <cell r="G1040">
            <v>0</v>
          </cell>
        </row>
        <row r="1041">
          <cell r="A1041" t="str">
            <v>37-1001223-300</v>
          </cell>
          <cell r="B1041" t="str">
            <v>Cable Assy, Singleflex, 16mm2, Blade-Blade, Black</v>
          </cell>
          <cell r="E1041">
            <v>29.8264</v>
          </cell>
          <cell r="G1041">
            <v>25</v>
          </cell>
        </row>
        <row r="1042">
          <cell r="A1042" t="str">
            <v>37-1001223-335</v>
          </cell>
          <cell r="B1042" t="str">
            <v>Cable Assy, Singleflex, 16mm2, Blade-Blade, Black</v>
          </cell>
          <cell r="E1042">
            <v>38.221670000000003</v>
          </cell>
          <cell r="G1042">
            <v>42</v>
          </cell>
        </row>
        <row r="1043">
          <cell r="A1043" t="str">
            <v>37-1001223-350</v>
          </cell>
          <cell r="B1043" t="str">
            <v>Cable Assy, Singleflex, 16mm2, Blade - Blade, Black</v>
          </cell>
          <cell r="E1043">
            <v>52.526000000000003</v>
          </cell>
          <cell r="G1043">
            <v>0</v>
          </cell>
        </row>
        <row r="1044">
          <cell r="A1044" t="str">
            <v>37-1001223-380</v>
          </cell>
          <cell r="B1044" t="str">
            <v>Cable Assy, Singleflex, 16mm², Blade-Blade, Black</v>
          </cell>
          <cell r="E1044">
            <v>0</v>
          </cell>
          <cell r="G1044">
            <v>0</v>
          </cell>
        </row>
        <row r="1045">
          <cell r="A1045" t="str">
            <v>37-1001223-400</v>
          </cell>
          <cell r="B1045" t="str">
            <v>Cable Assy, Single Flex, 16mm², Blade-Blade, Black</v>
          </cell>
          <cell r="E1045">
            <v>35.912660000000002</v>
          </cell>
          <cell r="G1045">
            <v>197</v>
          </cell>
        </row>
        <row r="1046">
          <cell r="A1046" t="str">
            <v>37-1001223-450</v>
          </cell>
          <cell r="B1046" t="str">
            <v>Cable Assy, Singleflex, 16mm2, Blade - Blade, Black</v>
          </cell>
          <cell r="E1046">
            <v>35.787999999999997</v>
          </cell>
          <cell r="G1046">
            <v>0</v>
          </cell>
        </row>
        <row r="1047">
          <cell r="A1047" t="str">
            <v>37-1001223-460</v>
          </cell>
          <cell r="B1047" t="str">
            <v>Cable Assy, Single Flex, 16mm², Blade-Blade, Black</v>
          </cell>
          <cell r="E1047">
            <v>36.603169999999999</v>
          </cell>
          <cell r="G1047">
            <v>45</v>
          </cell>
        </row>
        <row r="1048">
          <cell r="A1048" t="str">
            <v>37-1001223-50</v>
          </cell>
          <cell r="B1048" t="str">
            <v>Cable Assy, Singleflex, 16mm2, Blade - Blade, Black</v>
          </cell>
          <cell r="E1048">
            <v>22.531269999999999</v>
          </cell>
          <cell r="G1048">
            <v>0</v>
          </cell>
        </row>
        <row r="1049">
          <cell r="A1049" t="str">
            <v>37-1001223-500</v>
          </cell>
          <cell r="B1049" t="str">
            <v>Cable Assy, Single Flex, 16mm², Blade-Blade, Black</v>
          </cell>
          <cell r="E1049">
            <v>40.662500000000001</v>
          </cell>
          <cell r="G1049">
            <v>25</v>
          </cell>
        </row>
        <row r="1050">
          <cell r="A1050" t="str">
            <v>37-1001223-600</v>
          </cell>
          <cell r="B1050" t="str">
            <v>Cable Assy, Singleflex, 16mm2, Blade - Blade, Black</v>
          </cell>
          <cell r="E1050">
            <v>63.330669999999998</v>
          </cell>
          <cell r="G1050">
            <v>0</v>
          </cell>
        </row>
        <row r="1051">
          <cell r="A1051" t="str">
            <v>37-1001238-100</v>
          </cell>
          <cell r="B1051" t="str">
            <v xml:space="preserve">Cable Assy, Singleflex, 10mm, Blade-Blade, Red </v>
          </cell>
          <cell r="E1051">
            <v>35.253819999999997</v>
          </cell>
          <cell r="G1051">
            <v>460</v>
          </cell>
        </row>
        <row r="1052">
          <cell r="A1052" t="str">
            <v>37-1001238-1150</v>
          </cell>
          <cell r="B1052" t="str">
            <v xml:space="preserve">Cable Assy, Singleflex, 10mm, Blade-Blade, Red </v>
          </cell>
          <cell r="E1052">
            <v>61.503749999999997</v>
          </cell>
          <cell r="G1052">
            <v>40</v>
          </cell>
        </row>
        <row r="1053">
          <cell r="A1053" t="str">
            <v>37-1001238-1340</v>
          </cell>
          <cell r="B1053" t="str">
            <v xml:space="preserve">Cable Assy, Singleflex, 10mm, Blade-Blade, Red </v>
          </cell>
          <cell r="E1053">
            <v>68.638999999999996</v>
          </cell>
          <cell r="G1053">
            <v>20</v>
          </cell>
        </row>
        <row r="1054">
          <cell r="A1054" t="str">
            <v>37-1001238-150</v>
          </cell>
          <cell r="B1054" t="str">
            <v xml:space="preserve">Cable Assy, Singleflex, 10mm, Blade-Blade, Red </v>
          </cell>
          <cell r="E1054">
            <v>36.64378</v>
          </cell>
          <cell r="G1054">
            <v>275</v>
          </cell>
        </row>
        <row r="1055">
          <cell r="A1055" t="str">
            <v>37-1001238-300</v>
          </cell>
          <cell r="B1055" t="str">
            <v xml:space="preserve">Cable Assy, Singleflex, 10mm, Blade-Blade, Red </v>
          </cell>
          <cell r="E1055">
            <v>40.25385</v>
          </cell>
          <cell r="G1055">
            <v>50</v>
          </cell>
        </row>
        <row r="1056">
          <cell r="A1056" t="str">
            <v>37-1001238-330</v>
          </cell>
          <cell r="B1056" t="str">
            <v xml:space="preserve">Cable Assy, Singleflex, 10mm, Blade-Blade, Red </v>
          </cell>
          <cell r="E1056">
            <v>41.003689999999999</v>
          </cell>
          <cell r="G1056">
            <v>103</v>
          </cell>
        </row>
        <row r="1057">
          <cell r="A1057" t="str">
            <v>37-1001238-400</v>
          </cell>
          <cell r="B1057" t="str">
            <v xml:space="preserve">Cable Assy, Singleflex, 10mm, Blade-Blade, Red </v>
          </cell>
          <cell r="E1057">
            <v>42.668579999999999</v>
          </cell>
          <cell r="G1057">
            <v>267</v>
          </cell>
        </row>
        <row r="1058">
          <cell r="A1058" t="str">
            <v>37-1001238-500</v>
          </cell>
          <cell r="B1058" t="str">
            <v xml:space="preserve">Cable Assy, Singleflex, 10mm, Blade-Blade, Red </v>
          </cell>
          <cell r="E1058">
            <v>45.194200000000002</v>
          </cell>
          <cell r="G1058">
            <v>431</v>
          </cell>
        </row>
        <row r="1059">
          <cell r="A1059" t="str">
            <v>37-1001238-550</v>
          </cell>
          <cell r="B1059" t="str">
            <v xml:space="preserve">Cable Assy, Singleflex, 10mm, Blade-Blade, Red </v>
          </cell>
          <cell r="E1059">
            <v>46.503999999999998</v>
          </cell>
          <cell r="G1059">
            <v>20</v>
          </cell>
        </row>
        <row r="1060">
          <cell r="A1060" t="str">
            <v>37-1001238-700</v>
          </cell>
          <cell r="B1060" t="str">
            <v xml:space="preserve">Cable Assy, Singleflex, 10mm, Blade-Blade, Red </v>
          </cell>
          <cell r="E1060">
            <v>50.207630000000002</v>
          </cell>
          <cell r="G1060">
            <v>285</v>
          </cell>
        </row>
        <row r="1061">
          <cell r="A1061" t="str">
            <v>37-1001238-750</v>
          </cell>
          <cell r="B1061" t="str">
            <v xml:space="preserve">Cable Assy, Singleflex, 10mm, Blade-Blade, Red </v>
          </cell>
          <cell r="E1061">
            <v>53.889000000000003</v>
          </cell>
          <cell r="G1061">
            <v>20</v>
          </cell>
        </row>
        <row r="1062">
          <cell r="A1062" t="str">
            <v>37-1001238-980</v>
          </cell>
          <cell r="B1062" t="str">
            <v xml:space="preserve">Cable Assy, Singleflex, 10mm, Blade-Blade, Red </v>
          </cell>
          <cell r="E1062">
            <v>57.253999999999998</v>
          </cell>
          <cell r="G1062">
            <v>20</v>
          </cell>
        </row>
        <row r="1063">
          <cell r="A1063" t="str">
            <v>37-1001239-100</v>
          </cell>
          <cell r="B1063" t="str">
            <v>Cable Assy, Singleflex, 10mm, Blade-Blade. Black</v>
          </cell>
          <cell r="E1063">
            <v>0</v>
          </cell>
          <cell r="G1063">
            <v>0</v>
          </cell>
        </row>
        <row r="1064">
          <cell r="A1064" t="str">
            <v>37-1001239-1150</v>
          </cell>
          <cell r="B1064" t="str">
            <v>Cable Assy, Singleflex, 10mm, Blade-Blade. Black</v>
          </cell>
          <cell r="E1064">
            <v>63.923499999999997</v>
          </cell>
          <cell r="G1064">
            <v>20</v>
          </cell>
        </row>
        <row r="1065">
          <cell r="A1065" t="str">
            <v>37-1001239-1340</v>
          </cell>
          <cell r="B1065" t="str">
            <v>Cable Assy, Singleflex, 10mm, Blade-Blade. Black</v>
          </cell>
          <cell r="E1065">
            <v>75.039500000000004</v>
          </cell>
          <cell r="G1065">
            <v>20</v>
          </cell>
        </row>
        <row r="1066">
          <cell r="A1066" t="str">
            <v>37-1001239-180</v>
          </cell>
          <cell r="B1066" t="str">
            <v>Cable Assy, Singleflex, 10mm, Blade-Blade. Black</v>
          </cell>
          <cell r="E1066">
            <v>39.479999999999997</v>
          </cell>
          <cell r="G1066">
            <v>1</v>
          </cell>
        </row>
        <row r="1067">
          <cell r="A1067" t="str">
            <v>37-1001239-400</v>
          </cell>
          <cell r="B1067" t="str">
            <v>Cable Assy, Singleflex, 10mm, Blade-Blade. Black</v>
          </cell>
          <cell r="E1067">
            <v>42.788159999999998</v>
          </cell>
          <cell r="G1067">
            <v>252</v>
          </cell>
        </row>
        <row r="1068">
          <cell r="A1068" t="str">
            <v>37-1001239-500</v>
          </cell>
          <cell r="B1068" t="str">
            <v>Cable Assy, Singleflex, 10mm, Blade-Blade. Black</v>
          </cell>
          <cell r="E1068">
            <v>46.212730000000001</v>
          </cell>
          <cell r="G1068">
            <v>486</v>
          </cell>
        </row>
        <row r="1069">
          <cell r="A1069" t="str">
            <v>37-1001239-550</v>
          </cell>
          <cell r="B1069" t="str">
            <v>Cable Assy, Singleflex, 10mm, Blade-Blade. Black</v>
          </cell>
          <cell r="E1069">
            <v>48.923499999999997</v>
          </cell>
          <cell r="G1069">
            <v>20</v>
          </cell>
        </row>
        <row r="1070">
          <cell r="A1070" t="str">
            <v>37-1001239-700</v>
          </cell>
          <cell r="B1070" t="str">
            <v>Cable Assy, Singleflex, 10mm, Blade-Blade. Black</v>
          </cell>
          <cell r="E1070">
            <v>50.305300000000003</v>
          </cell>
          <cell r="G1070">
            <v>322</v>
          </cell>
        </row>
        <row r="1071">
          <cell r="A1071" t="str">
            <v>37-1001239-750</v>
          </cell>
          <cell r="B1071" t="str">
            <v>Cable Assy, Singleflex, 10mm, Blade-Blade. Black</v>
          </cell>
          <cell r="E1071">
            <v>51.538499999999999</v>
          </cell>
          <cell r="G1071">
            <v>20</v>
          </cell>
        </row>
        <row r="1072">
          <cell r="A1072" t="str">
            <v>37-1001239-980</v>
          </cell>
          <cell r="B1072" t="str">
            <v>Cable Assy, Singleflex, 10mm, Blade-Blade. Black</v>
          </cell>
          <cell r="E1072">
            <v>57.288420000000002</v>
          </cell>
          <cell r="G1072">
            <v>19</v>
          </cell>
        </row>
        <row r="1073">
          <cell r="A1073" t="str">
            <v>37-1001240-150</v>
          </cell>
          <cell r="B1073" t="str">
            <v>Cable Assy, Singleflex, 1mm2, Bootlace-Bootlace, Black</v>
          </cell>
          <cell r="E1073">
            <v>3.77</v>
          </cell>
          <cell r="G1073">
            <v>79</v>
          </cell>
        </row>
        <row r="1074">
          <cell r="A1074" t="str">
            <v>37-1001240-250</v>
          </cell>
          <cell r="B1074" t="str">
            <v>Cable Assy, Singleflex, 1mm², Bootlace-Bootlace, Black</v>
          </cell>
          <cell r="E1074">
            <v>3.754</v>
          </cell>
          <cell r="G1074">
            <v>0</v>
          </cell>
        </row>
        <row r="1075">
          <cell r="A1075" t="str">
            <v>37-1001240-300</v>
          </cell>
          <cell r="B1075" t="str">
            <v>Cable Assy, Singleflex, 1mm, Bootlace-Bootlace, Black</v>
          </cell>
          <cell r="E1075">
            <v>4.1887499999999998</v>
          </cell>
          <cell r="G1075">
            <v>35</v>
          </cell>
        </row>
        <row r="1076">
          <cell r="A1076" t="str">
            <v>37-1001240-350</v>
          </cell>
          <cell r="B1076" t="str">
            <v>Cable Assy, Singleflex, 1mm², Bootlace-Bootlace, Black</v>
          </cell>
          <cell r="E1076">
            <v>4.0640000000000001</v>
          </cell>
          <cell r="G1076">
            <v>0</v>
          </cell>
        </row>
        <row r="1077">
          <cell r="A1077" t="str">
            <v>37-1001240-360</v>
          </cell>
          <cell r="B1077" t="str">
            <v>Cable Assy, Singleflex, 1mm², Bootlace-Bootlace, Black</v>
          </cell>
          <cell r="E1077">
            <v>4.0693299999999999</v>
          </cell>
          <cell r="G1077">
            <v>0</v>
          </cell>
        </row>
        <row r="1078">
          <cell r="A1078" t="str">
            <v>37-1001240-400</v>
          </cell>
          <cell r="B1078" t="str">
            <v>Cable Assy, Singleflex, 1mm2, Bootlace-Bootlace, Black</v>
          </cell>
          <cell r="E1078">
            <v>4.1840000000000002</v>
          </cell>
          <cell r="G1078">
            <v>0</v>
          </cell>
        </row>
        <row r="1079">
          <cell r="A1079" t="str">
            <v>37-1001240-500</v>
          </cell>
          <cell r="B1079" t="str">
            <v>Cable Assy, Singleflex, 1mm², Bootlace-Bootlace, Black</v>
          </cell>
          <cell r="E1079">
            <v>4.47133</v>
          </cell>
          <cell r="G1079">
            <v>0</v>
          </cell>
        </row>
        <row r="1080">
          <cell r="A1080" t="str">
            <v>37-1001241-100</v>
          </cell>
          <cell r="B1080" t="str">
            <v xml:space="preserve">Cable Assy, Singleflex, 25mm, Blade-Blade, Red </v>
          </cell>
          <cell r="E1080">
            <v>27.053000000000001</v>
          </cell>
          <cell r="G1080">
            <v>0</v>
          </cell>
        </row>
        <row r="1081">
          <cell r="A1081" t="str">
            <v>37-1001241-120</v>
          </cell>
          <cell r="B1081" t="str">
            <v xml:space="preserve">Cable Assy, Singleflex, 25mm, Blade-Blade, Red </v>
          </cell>
          <cell r="E1081">
            <v>49.256999999999998</v>
          </cell>
          <cell r="G1081">
            <v>20</v>
          </cell>
        </row>
        <row r="1082">
          <cell r="A1082" t="str">
            <v>37-1001241-150</v>
          </cell>
          <cell r="B1082" t="str">
            <v xml:space="preserve">Cable Assy, Singleflex, 25mm, Blade-Blade, Red </v>
          </cell>
          <cell r="E1082">
            <v>46.981729999999999</v>
          </cell>
          <cell r="G1082">
            <v>52</v>
          </cell>
        </row>
        <row r="1083">
          <cell r="A1083" t="str">
            <v>37-1001241-300</v>
          </cell>
          <cell r="B1083" t="str">
            <v xml:space="preserve">Cable Assy, Singleflex, 25mm, Blade-Blade, Red </v>
          </cell>
          <cell r="E1083">
            <v>60.453040000000001</v>
          </cell>
          <cell r="G1083">
            <v>46</v>
          </cell>
        </row>
        <row r="1084">
          <cell r="A1084" t="str">
            <v>37-1001241-450</v>
          </cell>
          <cell r="B1084" t="str">
            <v xml:space="preserve">Cable Assy, Singleflex, 25mm, Blade-Blade, Red </v>
          </cell>
          <cell r="E1084">
            <v>69.783500000000004</v>
          </cell>
          <cell r="G1084">
            <v>40</v>
          </cell>
        </row>
        <row r="1085">
          <cell r="A1085" t="str">
            <v>37-1001241-600</v>
          </cell>
          <cell r="B1085" t="str">
            <v xml:space="preserve">Cable Assy, Singleflex, 25mm, Blade-Blade, Red </v>
          </cell>
          <cell r="E1085">
            <v>39.479999999999997</v>
          </cell>
          <cell r="G1085">
            <v>3</v>
          </cell>
        </row>
        <row r="1086">
          <cell r="A1086" t="str">
            <v>37-1001241-700</v>
          </cell>
          <cell r="B1086" t="str">
            <v xml:space="preserve">Cable Assy, Singleflex, 25mm, Blade-Blade, Red </v>
          </cell>
          <cell r="E1086">
            <v>63.052999999999997</v>
          </cell>
          <cell r="G1086">
            <v>0</v>
          </cell>
        </row>
        <row r="1087">
          <cell r="A1087" t="str">
            <v>37-1001241-75</v>
          </cell>
          <cell r="B1087" t="str">
            <v xml:space="preserve">Cable Assy, Singleflex, 25mm, Blade-Blade, Red </v>
          </cell>
          <cell r="E1087">
            <v>25.553000000000001</v>
          </cell>
          <cell r="G1087">
            <v>0</v>
          </cell>
        </row>
        <row r="1088">
          <cell r="A1088" t="str">
            <v>37-1001241-750</v>
          </cell>
          <cell r="B1088" t="str">
            <v xml:space="preserve">Cable Assy, Singleflex, 25mm, Blade-Blade, Red </v>
          </cell>
          <cell r="E1088">
            <v>88.4435</v>
          </cell>
          <cell r="G1088">
            <v>20</v>
          </cell>
        </row>
        <row r="1089">
          <cell r="A1089" t="str">
            <v>37-1001241-980</v>
          </cell>
          <cell r="B1089" t="str">
            <v xml:space="preserve">Cable Assy, Singleflex, 25mm, Blade-Blade, Red </v>
          </cell>
          <cell r="E1089">
            <v>54.588000000000001</v>
          </cell>
          <cell r="G1089">
            <v>20</v>
          </cell>
        </row>
        <row r="1090">
          <cell r="A1090" t="str">
            <v>37-1001242-100</v>
          </cell>
          <cell r="B1090" t="str">
            <v>Cable Assy, Singleflex, 25mm, Blade-Blade. Black</v>
          </cell>
          <cell r="E1090">
            <v>27.376000000000001</v>
          </cell>
          <cell r="G1090">
            <v>0</v>
          </cell>
        </row>
        <row r="1091">
          <cell r="A1091" t="str">
            <v>37-1001242-150</v>
          </cell>
          <cell r="B1091" t="str">
            <v>Cable Assy, Singleflex, 25mm, Blade-Blade. Black</v>
          </cell>
          <cell r="E1091">
            <v>44.793999999999997</v>
          </cell>
          <cell r="G1091">
            <v>40</v>
          </cell>
        </row>
        <row r="1092">
          <cell r="A1092" t="str">
            <v>37-1001242-250</v>
          </cell>
          <cell r="B1092" t="str">
            <v>Cable Assy, Singleflex, 25mm, Blade-Blade. Black</v>
          </cell>
          <cell r="E1092">
            <v>51.014000000000003</v>
          </cell>
          <cell r="G1092">
            <v>40</v>
          </cell>
        </row>
        <row r="1093">
          <cell r="A1093" t="str">
            <v>37-1001242-300</v>
          </cell>
          <cell r="B1093" t="str">
            <v>Cable Assy, Singleflex, 25mm, Blade-Blade. Black</v>
          </cell>
          <cell r="E1093">
            <v>47.845939999999999</v>
          </cell>
          <cell r="G1093">
            <v>32</v>
          </cell>
        </row>
        <row r="1094">
          <cell r="A1094" t="str">
            <v>37-1001242-400</v>
          </cell>
          <cell r="B1094" t="str">
            <v>Cable Assy, Singleflex, 25mm, Blade-Blade. Black</v>
          </cell>
          <cell r="E1094">
            <v>46.034999999999997</v>
          </cell>
          <cell r="G1094">
            <v>0</v>
          </cell>
        </row>
        <row r="1095">
          <cell r="A1095" t="str">
            <v>37-1001242-450</v>
          </cell>
          <cell r="B1095" t="str">
            <v>Cable Assy, Singleflex, 25mm, Blade-Blade. Black</v>
          </cell>
          <cell r="E1095">
            <v>63.451999999999998</v>
          </cell>
          <cell r="G1095">
            <v>40</v>
          </cell>
        </row>
        <row r="1096">
          <cell r="A1096" t="str">
            <v>37-1001242-550</v>
          </cell>
          <cell r="B1096" t="str">
            <v>Cable Assy, Singleflex, 25mm, Blade-Blade, Black</v>
          </cell>
          <cell r="E1096">
            <v>55.365000000000002</v>
          </cell>
          <cell r="G1096">
            <v>0</v>
          </cell>
        </row>
        <row r="1097">
          <cell r="A1097" t="str">
            <v>37-1001242-600</v>
          </cell>
          <cell r="B1097" t="str">
            <v>Cable Assy, Singleflex, 25mm, Blade-Blade. Black</v>
          </cell>
          <cell r="E1097">
            <v>72.784000000000006</v>
          </cell>
          <cell r="G1097">
            <v>20</v>
          </cell>
        </row>
        <row r="1098">
          <cell r="A1098" t="str">
            <v>37-1001242-750</v>
          </cell>
          <cell r="B1098" t="str">
            <v>Cable Assy, Singleflex, 25mm, Blade-Blade, Black</v>
          </cell>
          <cell r="E1098">
            <v>67.805000000000007</v>
          </cell>
          <cell r="G1098">
            <v>0</v>
          </cell>
        </row>
        <row r="1099">
          <cell r="A1099" t="str">
            <v>37-1001242-900</v>
          </cell>
          <cell r="B1099" t="str">
            <v>Cable Assy, Singleflex, 25mm, Blade-Blade. Black</v>
          </cell>
          <cell r="E1099">
            <v>91.444000000000003</v>
          </cell>
          <cell r="G1099">
            <v>20</v>
          </cell>
        </row>
        <row r="1100">
          <cell r="A1100" t="str">
            <v>37-1001264</v>
          </cell>
          <cell r="B1100" t="str">
            <v>Cable Assy, Faraday 15K - Akira Tamper</v>
          </cell>
          <cell r="E1100">
            <v>396.77199999999999</v>
          </cell>
          <cell r="G1100">
            <v>0</v>
          </cell>
        </row>
        <row r="1101">
          <cell r="A1101" t="str">
            <v>37-1001291-1000</v>
          </cell>
          <cell r="B1101" t="str">
            <v>Cable Assy, 2 pair, 0,22mm2, Crimp - Bootlaces</v>
          </cell>
          <cell r="E1101">
            <v>4.1580000000000004</v>
          </cell>
          <cell r="G1101">
            <v>0</v>
          </cell>
        </row>
        <row r="1102">
          <cell r="A1102" t="str">
            <v>37-1001349</v>
          </cell>
          <cell r="B1102" t="str">
            <v>Cable Assy, Singleflex, 10mm2, T3, Black</v>
          </cell>
          <cell r="E1102">
            <v>61.032139999999998</v>
          </cell>
          <cell r="G1102">
            <v>14</v>
          </cell>
        </row>
        <row r="1103">
          <cell r="A1103" t="str">
            <v>37-1001350</v>
          </cell>
          <cell r="B1103" t="str">
            <v>Cable Assy, Singleflex, 10mm2, T3, Red</v>
          </cell>
          <cell r="E1103">
            <v>37.791429999999998</v>
          </cell>
          <cell r="G1103">
            <v>7</v>
          </cell>
        </row>
        <row r="1104">
          <cell r="A1104" t="str">
            <v>37-1001351</v>
          </cell>
          <cell r="B1104" t="str">
            <v>Cable Assy, Singleflex, 10mm2, T3, Red</v>
          </cell>
          <cell r="E1104">
            <v>66.348569999999995</v>
          </cell>
          <cell r="G1104">
            <v>4</v>
          </cell>
        </row>
        <row r="1105">
          <cell r="A1105" t="str">
            <v>37-1001404-1150</v>
          </cell>
          <cell r="B1105" t="str">
            <v>Cable Assy, Single Flex, 16mm², Blade-Blade, White</v>
          </cell>
          <cell r="E1105">
            <v>62.548499999999997</v>
          </cell>
          <cell r="G1105">
            <v>0</v>
          </cell>
        </row>
        <row r="1106">
          <cell r="A1106" t="str">
            <v>37-1001404-120</v>
          </cell>
          <cell r="B1106" t="str">
            <v>Cable Assy, Single Flex, 16mm², Blade-Blade, White</v>
          </cell>
          <cell r="E1106">
            <v>23.57854</v>
          </cell>
          <cell r="G1106">
            <v>40</v>
          </cell>
        </row>
        <row r="1107">
          <cell r="A1107" t="str">
            <v>37-1001404-130</v>
          </cell>
          <cell r="B1107" t="str">
            <v>Cable Assy, Single Flex, 16mm², Blade-Blade, White</v>
          </cell>
          <cell r="E1107">
            <v>23.979759999999999</v>
          </cell>
          <cell r="G1107">
            <v>20</v>
          </cell>
        </row>
        <row r="1108">
          <cell r="A1108" t="str">
            <v>37-1001404-200</v>
          </cell>
          <cell r="B1108" t="str">
            <v>Cable Assy, Singleflex, 16mm², Blade-Blade, White</v>
          </cell>
          <cell r="E1108">
            <v>25.803999999999998</v>
          </cell>
          <cell r="G1108">
            <v>0</v>
          </cell>
        </row>
        <row r="1109">
          <cell r="A1109" t="str">
            <v>37-1001404-220</v>
          </cell>
          <cell r="B1109" t="str">
            <v>Cable Assy, Singleflex, 16mm², Blade-Blade, White</v>
          </cell>
          <cell r="E1109">
            <v>0</v>
          </cell>
          <cell r="G1109">
            <v>0</v>
          </cell>
        </row>
        <row r="1110">
          <cell r="A1110" t="str">
            <v>37-1001404-240</v>
          </cell>
          <cell r="B1110" t="str">
            <v>Cable Assy, Singleflex, 16mm2, Blade-Blade, White</v>
          </cell>
          <cell r="E1110">
            <v>37.934049999999999</v>
          </cell>
          <cell r="G1110">
            <v>42</v>
          </cell>
        </row>
        <row r="1111">
          <cell r="A1111" t="str">
            <v>37-1001404-250</v>
          </cell>
          <cell r="B1111" t="str">
            <v>Cable Assy, Singleflex, 16mm², Blade-Blade, White</v>
          </cell>
          <cell r="E1111">
            <v>27.855</v>
          </cell>
          <cell r="G1111">
            <v>0</v>
          </cell>
        </row>
        <row r="1112">
          <cell r="A1112" t="str">
            <v>37-1001404-280</v>
          </cell>
          <cell r="B1112" t="str">
            <v>Cable Assy, Singleflex, 16mm², Blade-Blade, White</v>
          </cell>
          <cell r="E1112">
            <v>0</v>
          </cell>
          <cell r="G1112">
            <v>0</v>
          </cell>
        </row>
        <row r="1113">
          <cell r="A1113" t="str">
            <v>37-1001404-300</v>
          </cell>
          <cell r="B1113" t="str">
            <v>Cable Assy, Singleflex, 16mm², Blade-Blade, White</v>
          </cell>
          <cell r="E1113">
            <v>0</v>
          </cell>
          <cell r="G1113">
            <v>0</v>
          </cell>
        </row>
        <row r="1114">
          <cell r="A1114" t="str">
            <v>37-1001404-350</v>
          </cell>
          <cell r="B1114" t="str">
            <v>Cable Assy, Single Flex, 16mm², Blade-Blade, White</v>
          </cell>
          <cell r="E1114">
            <v>31.2685</v>
          </cell>
          <cell r="G1114">
            <v>0</v>
          </cell>
        </row>
        <row r="1115">
          <cell r="A1115" t="str">
            <v>37-1001404-380</v>
          </cell>
          <cell r="B1115" t="str">
            <v>Cable Assy, Singleflex, 16mm², Blade-Blade, White</v>
          </cell>
          <cell r="E1115">
            <v>0</v>
          </cell>
          <cell r="G1115">
            <v>0</v>
          </cell>
        </row>
        <row r="1116">
          <cell r="A1116" t="str">
            <v>37-1001404-400</v>
          </cell>
          <cell r="B1116" t="str">
            <v>Cable Assy, Singleflex, 16mm², Blade-Blade, White</v>
          </cell>
          <cell r="E1116">
            <v>34.020000000000003</v>
          </cell>
          <cell r="G1116">
            <v>0</v>
          </cell>
        </row>
        <row r="1117">
          <cell r="A1117" t="str">
            <v>37-1001404-440</v>
          </cell>
          <cell r="B1117" t="str">
            <v>Cable Assy, Single Flex, 16mm², Blade-Blade, White</v>
          </cell>
          <cell r="E1117">
            <v>36.4178</v>
          </cell>
          <cell r="G1117">
            <v>20</v>
          </cell>
        </row>
        <row r="1118">
          <cell r="A1118" t="str">
            <v>37-1001404-450</v>
          </cell>
          <cell r="B1118" t="str">
            <v>Cable Assy, Singleflex, 16mm², Blade-Blade, White</v>
          </cell>
          <cell r="E1118">
            <v>36.07667</v>
          </cell>
          <cell r="G1118">
            <v>0</v>
          </cell>
        </row>
        <row r="1119">
          <cell r="A1119" t="str">
            <v>37-1001404-560</v>
          </cell>
          <cell r="B1119" t="str">
            <v>Cable Assy, Single Flex, 16mm², Blade-Blade, White</v>
          </cell>
          <cell r="E1119">
            <v>39.479500000000002</v>
          </cell>
          <cell r="G1119">
            <v>0</v>
          </cell>
        </row>
        <row r="1120">
          <cell r="A1120" t="str">
            <v>37-1001405-110</v>
          </cell>
          <cell r="B1120" t="str">
            <v>Cable Assy, Single Flex, 16mm², Blade-Blade, Blue</v>
          </cell>
          <cell r="E1120">
            <v>22.823899999999998</v>
          </cell>
          <cell r="G1120">
            <v>20</v>
          </cell>
        </row>
        <row r="1121">
          <cell r="A1121" t="str">
            <v>37-1001405-120</v>
          </cell>
          <cell r="B1121" t="str">
            <v>Cable Assy, Single Flex, 16mm², Blade-Blade, Blue</v>
          </cell>
          <cell r="E1121">
            <v>23.625</v>
          </cell>
          <cell r="G1121">
            <v>21</v>
          </cell>
        </row>
        <row r="1122">
          <cell r="A1122" t="str">
            <v>37-1001405-1200</v>
          </cell>
          <cell r="B1122" t="str">
            <v>Cable Assy, Single Flex, 16mm², Blade-Blade, Blue</v>
          </cell>
          <cell r="E1122">
            <v>64.260000000000005</v>
          </cell>
          <cell r="G1122">
            <v>0</v>
          </cell>
        </row>
        <row r="1123">
          <cell r="A1123" t="str">
            <v>37-1001405-150</v>
          </cell>
          <cell r="B1123" t="str">
            <v>Cable Assy, Single Flex, 16mm², Blade-Blade, Blue</v>
          </cell>
          <cell r="E1123">
            <v>24.395849999999999</v>
          </cell>
          <cell r="G1123">
            <v>20</v>
          </cell>
        </row>
        <row r="1124">
          <cell r="A1124" t="str">
            <v>37-1001405-200</v>
          </cell>
          <cell r="B1124" t="str">
            <v>Cable Assy, Singleflex, 16mm², Blade-Blade, Blue</v>
          </cell>
          <cell r="E1124">
            <v>25.122</v>
          </cell>
          <cell r="G1124">
            <v>0</v>
          </cell>
        </row>
        <row r="1125">
          <cell r="A1125" t="str">
            <v>37-1001405-220</v>
          </cell>
          <cell r="B1125" t="str">
            <v>Cable Assy, Singleflex, 16mm², Blade-Blade, Blue</v>
          </cell>
          <cell r="E1125">
            <v>0</v>
          </cell>
          <cell r="G1125">
            <v>0</v>
          </cell>
        </row>
        <row r="1126">
          <cell r="A1126" t="str">
            <v>37-1001405-240</v>
          </cell>
          <cell r="B1126" t="str">
            <v>Cable Assy, Singleflex, 16mm2, Blade-Blade, Blue</v>
          </cell>
          <cell r="E1126">
            <v>29.945239999999998</v>
          </cell>
          <cell r="G1126">
            <v>42</v>
          </cell>
        </row>
        <row r="1127">
          <cell r="A1127" t="str">
            <v>37-1001405-250</v>
          </cell>
          <cell r="B1127" t="str">
            <v>Cable Assy, Singleflex, 16mm², Blade-Blade, Blue</v>
          </cell>
          <cell r="E1127">
            <v>27.08</v>
          </cell>
          <cell r="G1127">
            <v>0</v>
          </cell>
        </row>
        <row r="1128">
          <cell r="A1128" t="str">
            <v>37-1001405-280</v>
          </cell>
          <cell r="B1128" t="str">
            <v>Cable Assy, Singleflex, 16mm², Blade-Blade, Blue</v>
          </cell>
          <cell r="E1128">
            <v>0</v>
          </cell>
          <cell r="G1128">
            <v>0</v>
          </cell>
        </row>
        <row r="1129">
          <cell r="A1129" t="str">
            <v>37-1001405-300</v>
          </cell>
          <cell r="B1129" t="str">
            <v>Cable Assy, Singleflex, 16mm², Blade-Blade, Blue</v>
          </cell>
          <cell r="E1129">
            <v>0</v>
          </cell>
          <cell r="G1129">
            <v>0</v>
          </cell>
        </row>
        <row r="1130">
          <cell r="A1130" t="str">
            <v>37-1001405-350</v>
          </cell>
          <cell r="B1130" t="str">
            <v>Cable Assy, Singleflex, 16mm², Blade-Blade, Blue</v>
          </cell>
          <cell r="E1130">
            <v>30.994669999999999</v>
          </cell>
          <cell r="G1130">
            <v>0</v>
          </cell>
        </row>
        <row r="1131">
          <cell r="A1131" t="str">
            <v>37-1001405-360</v>
          </cell>
          <cell r="B1131" t="str">
            <v>Cable Assy, Single Flex, 16mm², Blade-Blade, Blue</v>
          </cell>
          <cell r="E1131">
            <v>49.99</v>
          </cell>
          <cell r="G1131">
            <v>1</v>
          </cell>
        </row>
        <row r="1132">
          <cell r="A1132" t="str">
            <v>37-1001405-380</v>
          </cell>
          <cell r="B1132" t="str">
            <v>Cable Assy, Singleflex, 16mm², Blade-Blade, Blue</v>
          </cell>
          <cell r="E1132">
            <v>0</v>
          </cell>
          <cell r="G1132">
            <v>0</v>
          </cell>
        </row>
        <row r="1133">
          <cell r="A1133" t="str">
            <v>37-1001405-400</v>
          </cell>
          <cell r="B1133" t="str">
            <v>Cable Assy, Singleflex, 16mm², Blade-Blade, Blue</v>
          </cell>
          <cell r="E1133">
            <v>32.950000000000003</v>
          </cell>
          <cell r="G1133">
            <v>0</v>
          </cell>
        </row>
        <row r="1134">
          <cell r="A1134" t="str">
            <v>37-1001405-450</v>
          </cell>
          <cell r="B1134" t="str">
            <v>Cable Assy, Singleflex, 16mm², Blade-Blade, Blue</v>
          </cell>
          <cell r="E1134">
            <v>34.909999999999997</v>
          </cell>
          <cell r="G1134">
            <v>0</v>
          </cell>
        </row>
        <row r="1135">
          <cell r="A1135" t="str">
            <v>37-1001405-460</v>
          </cell>
          <cell r="B1135" t="str">
            <v>Cable Assy, Single Flex, 16mm², Blade-Blade, Blue</v>
          </cell>
          <cell r="E1135">
            <v>36.400489999999998</v>
          </cell>
          <cell r="G1135">
            <v>20</v>
          </cell>
        </row>
        <row r="1136">
          <cell r="A1136" t="str">
            <v>37-1001405-520</v>
          </cell>
          <cell r="B1136" t="str">
            <v>Cable Assy, Single Flex, 16mm², Blade-Blade, Blue</v>
          </cell>
          <cell r="E1136">
            <v>56.25</v>
          </cell>
          <cell r="G1136">
            <v>1</v>
          </cell>
        </row>
        <row r="1137">
          <cell r="A1137" t="str">
            <v>37-1001406</v>
          </cell>
          <cell r="B1137" t="str">
            <v>Cable Assy, Singleflex, 1mm², 16mm², T3, Red</v>
          </cell>
          <cell r="E1137">
            <v>24.113499999999998</v>
          </cell>
          <cell r="G1137">
            <v>25</v>
          </cell>
        </row>
        <row r="1138">
          <cell r="A1138" t="str">
            <v>37-1001407</v>
          </cell>
          <cell r="B1138" t="str">
            <v>Cable Assy, Singleflex, 1mm², 16mm², T3, Red</v>
          </cell>
          <cell r="E1138">
            <v>40.227499999999999</v>
          </cell>
          <cell r="G1138">
            <v>0</v>
          </cell>
        </row>
        <row r="1139">
          <cell r="A1139" t="str">
            <v>37-1001408</v>
          </cell>
          <cell r="B1139" t="str">
            <v>Cable Assy, Singleflex, 1mm², 16mm², T3, White</v>
          </cell>
          <cell r="E1139">
            <v>24.458500000000001</v>
          </cell>
          <cell r="G1139">
            <v>0</v>
          </cell>
        </row>
        <row r="1140">
          <cell r="A1140" t="str">
            <v>37-1001409</v>
          </cell>
          <cell r="B1140" t="str">
            <v>Cable Assy, Singleflex, 1mm², 16mm², T3, White</v>
          </cell>
          <cell r="E1140">
            <v>40.393000000000001</v>
          </cell>
          <cell r="G1140">
            <v>0</v>
          </cell>
        </row>
        <row r="1141">
          <cell r="A1141" t="str">
            <v>37-1001410</v>
          </cell>
          <cell r="B1141" t="str">
            <v>Cable Assy, Singleflex, 1mm², 16mm², T3, Blue</v>
          </cell>
          <cell r="E1141">
            <v>41.11</v>
          </cell>
          <cell r="G1141">
            <v>1</v>
          </cell>
        </row>
        <row r="1142">
          <cell r="A1142" t="str">
            <v>37-1001411</v>
          </cell>
          <cell r="B1142" t="str">
            <v>Cable Assy, Singleflex, 1mm², 16mm², T3, Blue</v>
          </cell>
          <cell r="E1142">
            <v>55.29</v>
          </cell>
          <cell r="G1142">
            <v>1</v>
          </cell>
        </row>
        <row r="1143">
          <cell r="A1143" t="str">
            <v>37-1001412</v>
          </cell>
          <cell r="B1143" t="str">
            <v>Cable Assy, Singleflex, 1mm², 16mm², T3, Black</v>
          </cell>
          <cell r="E1143">
            <v>41.43</v>
          </cell>
          <cell r="G1143">
            <v>27</v>
          </cell>
        </row>
        <row r="1144">
          <cell r="A1144" t="str">
            <v>37-1001413</v>
          </cell>
          <cell r="B1144" t="str">
            <v>Cable Assy, Singleflex, 1mm², 16mm², T3, Black</v>
          </cell>
          <cell r="E1144">
            <v>38.789000000000001</v>
          </cell>
          <cell r="G1144">
            <v>25</v>
          </cell>
        </row>
        <row r="1145">
          <cell r="A1145" t="str">
            <v>37-1001414-100</v>
          </cell>
          <cell r="B1145" t="str">
            <v xml:space="preserve">Cable Assy, Singleflex, 16mm2, Blade-Pin, Red </v>
          </cell>
          <cell r="E1145">
            <v>41.68</v>
          </cell>
          <cell r="G1145">
            <v>0</v>
          </cell>
        </row>
        <row r="1146">
          <cell r="A1146" t="str">
            <v>37-1001414-1150</v>
          </cell>
          <cell r="B1146" t="str">
            <v xml:space="preserve">Cable Assy, Singleflex, 16mm2, Blade-Pin, Red </v>
          </cell>
          <cell r="E1146">
            <v>85.637140000000002</v>
          </cell>
          <cell r="G1146">
            <v>7</v>
          </cell>
        </row>
        <row r="1147">
          <cell r="A1147" t="str">
            <v>37-1001414-1340</v>
          </cell>
          <cell r="B1147" t="str">
            <v xml:space="preserve">Cable Assy, Singleflex, 16mm2, Blade-Pin, Red </v>
          </cell>
          <cell r="E1147">
            <v>93.53</v>
          </cell>
          <cell r="G1147">
            <v>14</v>
          </cell>
        </row>
        <row r="1148">
          <cell r="A1148" t="str">
            <v>37-1001414-350</v>
          </cell>
          <cell r="B1148" t="str">
            <v>Cable Assy, Singleflex, 16mm2, Blade-Pin, Red</v>
          </cell>
          <cell r="E1148">
            <v>33.709769999999999</v>
          </cell>
          <cell r="G1148">
            <v>75</v>
          </cell>
        </row>
        <row r="1149">
          <cell r="A1149" t="str">
            <v>37-1001414-500</v>
          </cell>
          <cell r="B1149" t="str">
            <v>Cable Assy, Singleflex, 16mm2, Blade-Pin, Red</v>
          </cell>
          <cell r="E1149">
            <v>39.657649999999997</v>
          </cell>
          <cell r="G1149">
            <v>175</v>
          </cell>
        </row>
        <row r="1150">
          <cell r="A1150" t="str">
            <v>37-1001414-550</v>
          </cell>
          <cell r="B1150" t="str">
            <v xml:space="preserve">Cable Assy, Singleflex, 16mm2, Blade-Pin, Red </v>
          </cell>
          <cell r="E1150">
            <v>60.70429</v>
          </cell>
          <cell r="G1150">
            <v>7</v>
          </cell>
        </row>
        <row r="1151">
          <cell r="A1151" t="str">
            <v>37-1001414-600</v>
          </cell>
          <cell r="B1151" t="str">
            <v>Cable Assy, Single Flex, 16mm², Blade-Pin, Red</v>
          </cell>
          <cell r="E1151">
            <v>42.93</v>
          </cell>
          <cell r="G1151">
            <v>50</v>
          </cell>
        </row>
        <row r="1152">
          <cell r="A1152" t="str">
            <v>37-1001414-650</v>
          </cell>
          <cell r="B1152" t="str">
            <v>Cable Assy, Single Flex, 16mm², Blade-Pin, Red</v>
          </cell>
          <cell r="E1152">
            <v>44.486499999999999</v>
          </cell>
          <cell r="G1152">
            <v>0</v>
          </cell>
        </row>
        <row r="1153">
          <cell r="A1153" t="str">
            <v>37-1001414-700</v>
          </cell>
          <cell r="B1153" t="str">
            <v xml:space="preserve">Cable Assy, Singleflex, 16mm2, Blade-Pin, Red </v>
          </cell>
          <cell r="E1153">
            <v>46.586399999999998</v>
          </cell>
          <cell r="G1153">
            <v>25</v>
          </cell>
        </row>
        <row r="1154">
          <cell r="A1154" t="str">
            <v>37-1001414-750</v>
          </cell>
          <cell r="B1154" t="str">
            <v xml:space="preserve">Cable Assy, Singleflex, 16mm2, Blade-Pin, Red </v>
          </cell>
          <cell r="E1154">
            <v>69.015000000000001</v>
          </cell>
          <cell r="G1154">
            <v>6</v>
          </cell>
        </row>
        <row r="1155">
          <cell r="A1155" t="str">
            <v>37-1001414-80</v>
          </cell>
          <cell r="B1155" t="str">
            <v xml:space="preserve">Cable Assy, Singleflex, 16mm2, Blade-Pin, Red </v>
          </cell>
          <cell r="E1155">
            <v>40.856670000000001</v>
          </cell>
          <cell r="G1155">
            <v>0</v>
          </cell>
        </row>
        <row r="1156">
          <cell r="A1156" t="str">
            <v>37-1001414-850</v>
          </cell>
          <cell r="B1156" t="str">
            <v xml:space="preserve">Cable Assy, Singleflex, 16mm2, Blade-Pin, Red </v>
          </cell>
          <cell r="E1156">
            <v>52.886400000000002</v>
          </cell>
          <cell r="G1156">
            <v>25</v>
          </cell>
        </row>
        <row r="1157">
          <cell r="A1157" t="str">
            <v>37-1001414-880</v>
          </cell>
          <cell r="B1157" t="str">
            <v xml:space="preserve">Cable Assy, Singleflex, 16mm2, Blade-Pin, Red </v>
          </cell>
          <cell r="E1157">
            <v>74.417140000000003</v>
          </cell>
          <cell r="G1157">
            <v>7</v>
          </cell>
        </row>
        <row r="1158">
          <cell r="A1158" t="str">
            <v>37-1001414-900</v>
          </cell>
          <cell r="B1158" t="str">
            <v xml:space="preserve">Cable Assy, Singleflex, 16mm2, Blade-Pin, Red </v>
          </cell>
          <cell r="E1158">
            <v>52.600670000000001</v>
          </cell>
          <cell r="G1158">
            <v>26</v>
          </cell>
        </row>
        <row r="1159">
          <cell r="A1159" t="str">
            <v>37-1001415-900</v>
          </cell>
          <cell r="B1159" t="str">
            <v>Cable Assy, Single Flex, 16mm², Blade-Pin, White</v>
          </cell>
          <cell r="E1159">
            <v>52.336500000000001</v>
          </cell>
          <cell r="G1159">
            <v>0</v>
          </cell>
        </row>
        <row r="1160">
          <cell r="A1160" t="str">
            <v>37-1001415-950</v>
          </cell>
          <cell r="B1160" t="str">
            <v>Cable Assy, Single Flex, 16mm², Blade-Pin, White</v>
          </cell>
          <cell r="E1160">
            <v>54.291499999999999</v>
          </cell>
          <cell r="G1160">
            <v>0</v>
          </cell>
        </row>
        <row r="1161">
          <cell r="A1161" t="str">
            <v>37-1001416-1200</v>
          </cell>
          <cell r="B1161" t="str">
            <v>Cable Assy, Single Flex, 16mm², Blade-Pin, Blue</v>
          </cell>
          <cell r="E1161">
            <v>65.989500000000007</v>
          </cell>
          <cell r="G1161">
            <v>0</v>
          </cell>
        </row>
        <row r="1162">
          <cell r="A1162" t="str">
            <v>37-1001416-1300</v>
          </cell>
          <cell r="B1162" t="str">
            <v>Cable Assy, Single Flex, 16mm², Blade-Pin, Blue</v>
          </cell>
          <cell r="E1162">
            <v>69.886499999999998</v>
          </cell>
          <cell r="G1162">
            <v>0</v>
          </cell>
        </row>
        <row r="1163">
          <cell r="A1163" t="str">
            <v>37-1001417-100</v>
          </cell>
          <cell r="B1163" t="str">
            <v>Cable Assy, Singleflex, 16mm2, Blade-Pin, Black</v>
          </cell>
          <cell r="E1163">
            <v>41.25667</v>
          </cell>
          <cell r="G1163">
            <v>0</v>
          </cell>
        </row>
        <row r="1164">
          <cell r="A1164" t="str">
            <v>37-1001417-1150</v>
          </cell>
          <cell r="B1164" t="str">
            <v>Cable Assy, Singleflex, 16mm2, Blade-Pin, Black</v>
          </cell>
          <cell r="E1164">
            <v>86.618570000000005</v>
          </cell>
          <cell r="G1164">
            <v>7</v>
          </cell>
        </row>
        <row r="1165">
          <cell r="A1165" t="str">
            <v>37-1001417-1340</v>
          </cell>
          <cell r="B1165" t="str">
            <v>Cable Assy, Singleflex, 16mm2, Blade-Pin, Black</v>
          </cell>
          <cell r="E1165">
            <v>94.67071</v>
          </cell>
          <cell r="G1165">
            <v>14</v>
          </cell>
        </row>
        <row r="1166">
          <cell r="A1166" t="str">
            <v>37-1001417-300</v>
          </cell>
          <cell r="B1166" t="str">
            <v>Cable Assy, Singleflex, 16mm2, Blade-Pin, Black</v>
          </cell>
          <cell r="E1166">
            <v>49.503329999999998</v>
          </cell>
          <cell r="G1166">
            <v>0</v>
          </cell>
        </row>
        <row r="1167">
          <cell r="A1167" t="str">
            <v>37-1001417-330</v>
          </cell>
          <cell r="B1167" t="str">
            <v>Cable Assy, Single Flex, 16mm², Blade-Pin, Black</v>
          </cell>
          <cell r="E1167">
            <v>31.405370000000001</v>
          </cell>
          <cell r="G1167">
            <v>90</v>
          </cell>
        </row>
        <row r="1168">
          <cell r="A1168" t="str">
            <v>37-1001417-350</v>
          </cell>
          <cell r="B1168" t="str">
            <v>Cable Assy, Singleflex, 16mm2, Blade-Pin, Black</v>
          </cell>
          <cell r="E1168">
            <v>33.234290000000001</v>
          </cell>
          <cell r="G1168">
            <v>75</v>
          </cell>
        </row>
        <row r="1169">
          <cell r="A1169" t="str">
            <v>37-1001417-420</v>
          </cell>
          <cell r="B1169" t="str">
            <v>Cable Assy, Single Flex, 16mm², Blade-Pin, Black</v>
          </cell>
          <cell r="E1169">
            <v>35.194389999999999</v>
          </cell>
          <cell r="G1169">
            <v>45</v>
          </cell>
        </row>
        <row r="1170">
          <cell r="A1170" t="str">
            <v>37-1001417-500</v>
          </cell>
          <cell r="B1170" t="str">
            <v>Cable Assy, Single Flex, 16mm², Blade-Pin, Black</v>
          </cell>
          <cell r="E1170">
            <v>35.475209999999997</v>
          </cell>
          <cell r="G1170">
            <v>220</v>
          </cell>
        </row>
        <row r="1171">
          <cell r="A1171" t="str">
            <v>37-1001417-550</v>
          </cell>
          <cell r="B1171" t="str">
            <v>Cable Assy, Singleflex, 16mm2, Blade-Pin, Black</v>
          </cell>
          <cell r="E1171">
            <v>61.19</v>
          </cell>
          <cell r="G1171">
            <v>7</v>
          </cell>
        </row>
        <row r="1172">
          <cell r="A1172" t="str">
            <v>37-1001417-600</v>
          </cell>
          <cell r="B1172" t="str">
            <v>Cable Assy, Single Flex, 16mm², Blade-Pin, Black</v>
          </cell>
          <cell r="E1172">
            <v>43.7378</v>
          </cell>
          <cell r="G1172">
            <v>75</v>
          </cell>
        </row>
        <row r="1173">
          <cell r="A1173" t="str">
            <v>37-1001417-700</v>
          </cell>
          <cell r="B1173" t="str">
            <v>Cable Assy, Singleflex, 16mm2, Blade-Pin, Black</v>
          </cell>
          <cell r="E1173">
            <v>46.516399999999997</v>
          </cell>
          <cell r="G1173">
            <v>25</v>
          </cell>
        </row>
        <row r="1174">
          <cell r="A1174" t="str">
            <v>37-1001417-750</v>
          </cell>
          <cell r="B1174" t="str">
            <v>Cable Assy, Single Flex, 16mm², Blade-Pin, Black</v>
          </cell>
          <cell r="E1174">
            <v>48.969580000000001</v>
          </cell>
          <cell r="G1174">
            <v>45</v>
          </cell>
        </row>
        <row r="1175">
          <cell r="A1175" t="str">
            <v>37-1001417-850</v>
          </cell>
          <cell r="B1175" t="str">
            <v>Cable Assy, Single Flex, 16mm², Blade-Pin, Black</v>
          </cell>
          <cell r="E1175">
            <v>53.11289</v>
          </cell>
          <cell r="G1175">
            <v>105</v>
          </cell>
        </row>
        <row r="1176">
          <cell r="A1176" t="str">
            <v>37-1001417-880</v>
          </cell>
          <cell r="B1176" t="str">
            <v>Cable Assy, Singleflex, 16mm2, Blade-Pin, Black</v>
          </cell>
          <cell r="E1176">
            <v>75.176000000000002</v>
          </cell>
          <cell r="G1176">
            <v>5</v>
          </cell>
        </row>
        <row r="1177">
          <cell r="A1177" t="str">
            <v>37-1001417-900</v>
          </cell>
          <cell r="B1177" t="str">
            <v>Cable Assy, Singleflex, 16mm2, Blade-Pin, Black</v>
          </cell>
          <cell r="E1177">
            <v>52.85</v>
          </cell>
          <cell r="G1177">
            <v>25</v>
          </cell>
        </row>
        <row r="1178">
          <cell r="A1178" t="str">
            <v>37-1001459</v>
          </cell>
          <cell r="B1178" t="str">
            <v>Cable Assy, Singleflex, 1mm2, 16mm2, T4, Black</v>
          </cell>
          <cell r="E1178">
            <v>71.928780000000003</v>
          </cell>
          <cell r="G1178">
            <v>324</v>
          </cell>
        </row>
        <row r="1179">
          <cell r="A1179" t="str">
            <v>37-1001460</v>
          </cell>
          <cell r="B1179" t="str">
            <v>Cable Assy, Singleflex, 16mm2, T3, Red</v>
          </cell>
          <cell r="E1179">
            <v>71.445009999999996</v>
          </cell>
          <cell r="G1179">
            <v>397</v>
          </cell>
        </row>
        <row r="1180">
          <cell r="A1180" t="str">
            <v>37-1001462</v>
          </cell>
          <cell r="B1180" t="str">
            <v>Cable Assy, Singleflex, 1mm2, 16mm2, T3, Black</v>
          </cell>
          <cell r="E1180">
            <v>34.59357</v>
          </cell>
          <cell r="G1180">
            <v>42</v>
          </cell>
        </row>
        <row r="1181">
          <cell r="A1181" t="str">
            <v>37-1001463</v>
          </cell>
          <cell r="B1181" t="str">
            <v>Cable Assy, Singleflex, 1mm2, 16mm2, T3, Blue</v>
          </cell>
          <cell r="E1181">
            <v>29.82619</v>
          </cell>
          <cell r="G1181">
            <v>42</v>
          </cell>
        </row>
        <row r="1182">
          <cell r="A1182" t="str">
            <v>37-1001464</v>
          </cell>
          <cell r="B1182" t="str">
            <v>Cable Assy, Singleflex, 1mm2, 16mm2, T3, Red</v>
          </cell>
          <cell r="E1182">
            <v>38.398330000000001</v>
          </cell>
          <cell r="G1182">
            <v>42</v>
          </cell>
        </row>
        <row r="1183">
          <cell r="A1183" t="str">
            <v>37-1001465</v>
          </cell>
          <cell r="B1183" t="str">
            <v>Cable Assy, Singleflex, 1mm2, 16mm2, T4, White</v>
          </cell>
          <cell r="E1183">
            <v>28.85548</v>
          </cell>
          <cell r="G1183">
            <v>42</v>
          </cell>
        </row>
        <row r="1184">
          <cell r="A1184" t="str">
            <v>37-1001468</v>
          </cell>
          <cell r="B1184" t="str">
            <v>Cable Assy, Singleflex, 1mm2, 16mm2, T3, Red</v>
          </cell>
          <cell r="E1184">
            <v>56.064450000000001</v>
          </cell>
          <cell r="G1184">
            <v>0</v>
          </cell>
        </row>
        <row r="1185">
          <cell r="A1185" t="str">
            <v>37-1001487</v>
          </cell>
          <cell r="B1185" t="str">
            <v>Cable Assy, Singleflex, 10mm2, T3, Red</v>
          </cell>
          <cell r="E1185">
            <v>0</v>
          </cell>
          <cell r="G1185">
            <v>0</v>
          </cell>
        </row>
        <row r="1186">
          <cell r="A1186" t="str">
            <v>37-1001488</v>
          </cell>
          <cell r="B1186" t="str">
            <v>Cable Assy, Singleflex, 10mm2, T3, Black</v>
          </cell>
          <cell r="E1186">
            <v>0</v>
          </cell>
          <cell r="G1186">
            <v>0</v>
          </cell>
        </row>
        <row r="1187">
          <cell r="A1187" t="str">
            <v>37-1001492</v>
          </cell>
          <cell r="B1187" t="str">
            <v xml:space="preserve">Cable Assy, Sofar 6KTLM-G3 coms </v>
          </cell>
          <cell r="E1187">
            <v>77.3</v>
          </cell>
          <cell r="G1187">
            <v>0</v>
          </cell>
        </row>
        <row r="1188">
          <cell r="A1188" t="str">
            <v>37-1001495</v>
          </cell>
          <cell r="B1188" t="str">
            <v xml:space="preserve">Cable Assy, Singleflex, 1mm2, 16mm2, T3, Red </v>
          </cell>
          <cell r="E1188">
            <v>78.313329999999993</v>
          </cell>
          <cell r="G1188">
            <v>0</v>
          </cell>
        </row>
        <row r="1189">
          <cell r="A1189" t="str">
            <v>37-1001496</v>
          </cell>
          <cell r="B1189" t="str">
            <v>Cable Assy, Singleflex, 1mm2, 16mm2, T3, Black</v>
          </cell>
          <cell r="E1189">
            <v>89.105999999999995</v>
          </cell>
          <cell r="G1189">
            <v>0</v>
          </cell>
        </row>
        <row r="1190">
          <cell r="A1190" t="str">
            <v>37-1001497</v>
          </cell>
          <cell r="B1190" t="str">
            <v xml:space="preserve">Cable Assy, Singleflex, 1mm2, 16mm2, T3, Red </v>
          </cell>
          <cell r="E1190">
            <v>83.021330000000006</v>
          </cell>
          <cell r="G1190">
            <v>0</v>
          </cell>
        </row>
        <row r="1191">
          <cell r="A1191" t="str">
            <v>37-1001498</v>
          </cell>
          <cell r="B1191" t="str">
            <v>Cable Assy, Singleflex, 1mm2, 16mm2, T3, Black</v>
          </cell>
          <cell r="E1191">
            <v>82.921999999999997</v>
          </cell>
          <cell r="G1191">
            <v>0</v>
          </cell>
        </row>
        <row r="1192">
          <cell r="A1192" t="str">
            <v>37-1001499</v>
          </cell>
          <cell r="B1192" t="str">
            <v xml:space="preserve">Cable Assy, Singleflex, 16mm2, T3, Red </v>
          </cell>
          <cell r="E1192">
            <v>62.66133</v>
          </cell>
          <cell r="G1192">
            <v>0</v>
          </cell>
        </row>
        <row r="1193">
          <cell r="A1193" t="str">
            <v>37-1001500</v>
          </cell>
          <cell r="B1193" t="str">
            <v>Cable Assy, Singleflex, 16mm2, T3, Black</v>
          </cell>
          <cell r="E1193">
            <v>62.66733</v>
          </cell>
          <cell r="G1193">
            <v>0</v>
          </cell>
        </row>
        <row r="1194">
          <cell r="A1194" t="str">
            <v>37-1001505-500</v>
          </cell>
          <cell r="B1194" t="str">
            <v>Cable Assy, Singleflex, 6mm2, Bootlace-Blade, Red</v>
          </cell>
          <cell r="E1194">
            <v>11.204000000000001</v>
          </cell>
          <cell r="G1194">
            <v>0</v>
          </cell>
        </row>
        <row r="1195">
          <cell r="A1195" t="str">
            <v>37-1001505-550</v>
          </cell>
          <cell r="B1195" t="str">
            <v>Cable Assy, Singleflex, 6mm, Blade-Pin, Red</v>
          </cell>
          <cell r="E1195">
            <v>38.629330000000003</v>
          </cell>
          <cell r="G1195">
            <v>15</v>
          </cell>
        </row>
        <row r="1196">
          <cell r="A1196" t="str">
            <v>37-1001505-700</v>
          </cell>
          <cell r="B1196" t="str">
            <v>Cable Assy, Singleflex, 6mm2, Blade-Pin, Red</v>
          </cell>
          <cell r="E1196">
            <v>0</v>
          </cell>
          <cell r="G1196">
            <v>0</v>
          </cell>
        </row>
        <row r="1197">
          <cell r="A1197" t="str">
            <v>37-1001506-500</v>
          </cell>
          <cell r="B1197" t="str">
            <v>Cable Assy, Singleflex, 6mm2, Blade-Pin, Black</v>
          </cell>
          <cell r="E1197">
            <v>0</v>
          </cell>
          <cell r="G1197">
            <v>0</v>
          </cell>
        </row>
        <row r="1198">
          <cell r="A1198" t="str">
            <v>37-1001506-550</v>
          </cell>
          <cell r="B1198" t="str">
            <v>Cable Assy, Singleflex, 6mm, Blade-Pin, Black</v>
          </cell>
          <cell r="E1198">
            <v>37.06</v>
          </cell>
          <cell r="G1198">
            <v>15</v>
          </cell>
        </row>
        <row r="1199">
          <cell r="A1199" t="str">
            <v>37-1001506-700</v>
          </cell>
          <cell r="B1199" t="str">
            <v>Cable Assy, Singleflex, 6mm2, Blade-Pin, Black</v>
          </cell>
          <cell r="E1199">
            <v>0</v>
          </cell>
          <cell r="G1199">
            <v>0</v>
          </cell>
        </row>
        <row r="1200">
          <cell r="A1200" t="str">
            <v>37-1001507-500</v>
          </cell>
          <cell r="B1200" t="str">
            <v xml:space="preserve">Cable Assy, Singleflex, 6mm2, Bootlace-Bootlace, Earth </v>
          </cell>
          <cell r="E1200">
            <v>11.4</v>
          </cell>
          <cell r="G1200">
            <v>0</v>
          </cell>
        </row>
        <row r="1201">
          <cell r="A1201" t="str">
            <v>37-1001508</v>
          </cell>
          <cell r="B1201" t="str">
            <v>Cable Assy, PV 1kV, 6mm2, T3, Red</v>
          </cell>
          <cell r="E1201">
            <v>49.831330000000001</v>
          </cell>
          <cell r="G1201">
            <v>30</v>
          </cell>
        </row>
        <row r="1202">
          <cell r="A1202" t="str">
            <v>37-1001509</v>
          </cell>
          <cell r="B1202" t="str">
            <v>Cable Assy, PV 1kV, 6mm2, T3, Black</v>
          </cell>
          <cell r="E1202">
            <v>49.651719999999997</v>
          </cell>
          <cell r="G1202">
            <v>29</v>
          </cell>
        </row>
        <row r="1203">
          <cell r="A1203" t="str">
            <v>37-1001510-130</v>
          </cell>
          <cell r="B1203" t="str">
            <v xml:space="preserve">Cable Assy, PV 1kV, 6mm2, Blade-Spade, Red </v>
          </cell>
          <cell r="E1203">
            <v>31.036999999999999</v>
          </cell>
          <cell r="G1203">
            <v>0</v>
          </cell>
        </row>
        <row r="1204">
          <cell r="A1204" t="str">
            <v>37-1001510-350</v>
          </cell>
          <cell r="B1204" t="str">
            <v xml:space="preserve">Cable Assy, PV 1kV, 6mm2, Blade-Spade, Red </v>
          </cell>
          <cell r="E1204">
            <v>36.872329999999998</v>
          </cell>
          <cell r="G1204">
            <v>30</v>
          </cell>
        </row>
        <row r="1205">
          <cell r="A1205" t="str">
            <v>37-1001511-130</v>
          </cell>
          <cell r="B1205" t="str">
            <v xml:space="preserve">Cable Assy, PV 1kV, 6mm2, Blade-Spade, Black </v>
          </cell>
          <cell r="E1205">
            <v>31.1845</v>
          </cell>
          <cell r="G1205">
            <v>0</v>
          </cell>
        </row>
        <row r="1206">
          <cell r="A1206" t="str">
            <v>37-1001511-350</v>
          </cell>
          <cell r="B1206" t="str">
            <v xml:space="preserve">Cable Assy, PV 1kV, 6mm2, Blade-Spade, Black </v>
          </cell>
          <cell r="E1206">
            <v>36.735520000000001</v>
          </cell>
          <cell r="G1206">
            <v>29</v>
          </cell>
        </row>
        <row r="1207">
          <cell r="A1207" t="str">
            <v>37-1001513-130</v>
          </cell>
          <cell r="B1207" t="str">
            <v xml:space="preserve">Cable Assy, PV 1kV, 6mm2, MC4 Panel mount-Spade, Red </v>
          </cell>
          <cell r="E1207">
            <v>33.857329999999997</v>
          </cell>
          <cell r="G1207">
            <v>30</v>
          </cell>
        </row>
        <row r="1208">
          <cell r="A1208" t="str">
            <v>37-1001514-130</v>
          </cell>
          <cell r="B1208" t="str">
            <v>Cable Assy, PV 1kV, 6mm2, MC4 Panel mount-Spade, Black</v>
          </cell>
          <cell r="E1208">
            <v>34.711329999999997</v>
          </cell>
          <cell r="G1208">
            <v>30</v>
          </cell>
        </row>
        <row r="1209">
          <cell r="A1209" t="str">
            <v>37-1001516</v>
          </cell>
          <cell r="B1209" t="str">
            <v>Cable Assy, Singleflex, 16mm2, T3, Earth</v>
          </cell>
          <cell r="E1209">
            <v>62.611109999999996</v>
          </cell>
          <cell r="G1209">
            <v>27</v>
          </cell>
        </row>
        <row r="1210">
          <cell r="A1210" t="str">
            <v>37-1001520-250</v>
          </cell>
          <cell r="B1210" t="str">
            <v>Cable Assy, MC-RJ45</v>
          </cell>
          <cell r="E1210">
            <v>33.645249999999997</v>
          </cell>
          <cell r="G1210">
            <v>273</v>
          </cell>
        </row>
        <row r="1211">
          <cell r="A1211" t="str">
            <v>37-1001520-400</v>
          </cell>
          <cell r="B1211" t="str">
            <v>Cable Assy, MC-RJ45</v>
          </cell>
          <cell r="E1211">
            <v>31.665030000000002</v>
          </cell>
          <cell r="G1211">
            <v>410</v>
          </cell>
        </row>
        <row r="1212">
          <cell r="A1212" t="str">
            <v>37-1001522</v>
          </cell>
          <cell r="B1212" t="str">
            <v>Cable Assy, Sofar 6KTLM-G3 coms, Type B</v>
          </cell>
          <cell r="E1212">
            <v>22.3</v>
          </cell>
          <cell r="G1212">
            <v>15</v>
          </cell>
        </row>
        <row r="1213">
          <cell r="A1213" t="str">
            <v>37-1001553</v>
          </cell>
          <cell r="B1213" t="str">
            <v xml:space="preserve">Cable Assy, JST4A - Bootlace </v>
          </cell>
          <cell r="E1213">
            <v>26.5</v>
          </cell>
          <cell r="G1213">
            <v>315</v>
          </cell>
        </row>
        <row r="1214">
          <cell r="A1214" t="str">
            <v>37-1001554</v>
          </cell>
          <cell r="B1214" t="str">
            <v>Cable Assy, Singleflex,1mm2, 25mm2, T3, Red</v>
          </cell>
          <cell r="E1214">
            <v>44.273000000000003</v>
          </cell>
          <cell r="G1214">
            <v>0</v>
          </cell>
        </row>
        <row r="1215">
          <cell r="A1215" t="str">
            <v>37-1001555</v>
          </cell>
          <cell r="B1215" t="str">
            <v>Cable Assy, Singleflex,1mm2, 25mm2, T3, Black</v>
          </cell>
          <cell r="E1215">
            <v>44.936500000000002</v>
          </cell>
          <cell r="G1215">
            <v>0</v>
          </cell>
        </row>
        <row r="1216">
          <cell r="A1216" t="str">
            <v>37-1001567-1150</v>
          </cell>
          <cell r="B1216" t="str">
            <v xml:space="preserve">Cable Assy, Singleflex, 10mm, Blade-Pin, Red </v>
          </cell>
          <cell r="E1216">
            <v>41.694000000000003</v>
          </cell>
          <cell r="G1216">
            <v>0</v>
          </cell>
        </row>
        <row r="1217">
          <cell r="A1217" t="str">
            <v>37-1001567-1340</v>
          </cell>
          <cell r="B1217" t="str">
            <v xml:space="preserve">Cable Assy, Singleflex, 10mm, Blade-Pin, Red </v>
          </cell>
          <cell r="E1217">
            <v>46.444499999999998</v>
          </cell>
          <cell r="G1217">
            <v>0</v>
          </cell>
        </row>
        <row r="1218">
          <cell r="A1218" t="str">
            <v>37-1001567-500</v>
          </cell>
          <cell r="B1218" t="str">
            <v>Cable Assy, Singleflex, 10mm, Blade-Pin, Red</v>
          </cell>
          <cell r="E1218">
            <v>0</v>
          </cell>
          <cell r="G1218">
            <v>0</v>
          </cell>
        </row>
        <row r="1219">
          <cell r="A1219" t="str">
            <v>37-1001567-550</v>
          </cell>
          <cell r="B1219" t="str">
            <v xml:space="preserve">Cable Assy, Singleflex, 10mm, Blade-Pin, Red </v>
          </cell>
          <cell r="E1219">
            <v>26.753</v>
          </cell>
          <cell r="G1219">
            <v>0</v>
          </cell>
        </row>
        <row r="1220">
          <cell r="A1220" t="str">
            <v>37-1001567-600</v>
          </cell>
          <cell r="B1220" t="str">
            <v>Cable Assy, Singleflex, 10mm2, Blade-Pin, Red</v>
          </cell>
          <cell r="E1220">
            <v>0</v>
          </cell>
          <cell r="G1220">
            <v>0</v>
          </cell>
        </row>
        <row r="1221">
          <cell r="A1221" t="str">
            <v>37-1001567-700</v>
          </cell>
          <cell r="B1221" t="str">
            <v>Cable Assy, Singleflex, 10mm, Blade-Pin, Red</v>
          </cell>
          <cell r="E1221">
            <v>0</v>
          </cell>
          <cell r="G1221">
            <v>0</v>
          </cell>
        </row>
        <row r="1222">
          <cell r="A1222" t="str">
            <v>37-1001567-750</v>
          </cell>
          <cell r="B1222" t="str">
            <v xml:space="preserve">Cable Assy, Singleflex, 10mm, Blade-Pin, Red </v>
          </cell>
          <cell r="E1222">
            <v>54.45</v>
          </cell>
          <cell r="G1222">
            <v>1</v>
          </cell>
        </row>
        <row r="1223">
          <cell r="A1223" t="str">
            <v>37-1001567-850</v>
          </cell>
          <cell r="B1223" t="str">
            <v>Cable Assy, Singleflex, 10mm2, Blade-Pin, Red</v>
          </cell>
          <cell r="E1223">
            <v>0</v>
          </cell>
          <cell r="G1223">
            <v>0</v>
          </cell>
        </row>
        <row r="1224">
          <cell r="A1224" t="str">
            <v>37-1001567-880</v>
          </cell>
          <cell r="B1224" t="str">
            <v xml:space="preserve">Cable Assy, Singleflex, 10mm, Blade-Pin, Red </v>
          </cell>
          <cell r="E1224">
            <v>34.944000000000003</v>
          </cell>
          <cell r="G1224">
            <v>0</v>
          </cell>
        </row>
        <row r="1225">
          <cell r="A1225" t="str">
            <v>37-1001567-900</v>
          </cell>
          <cell r="B1225" t="str">
            <v>Cable Assy, Singleflex, 10mm2, Blade-Pin, Red</v>
          </cell>
          <cell r="E1225">
            <v>0</v>
          </cell>
          <cell r="G1225">
            <v>0</v>
          </cell>
        </row>
        <row r="1226">
          <cell r="A1226" t="str">
            <v>37-1001568-1150</v>
          </cell>
          <cell r="B1226" t="str">
            <v>Cable Assy, Singleflex, 10mm, Blade-Pin, Black</v>
          </cell>
          <cell r="E1226">
            <v>47.03</v>
          </cell>
          <cell r="G1226">
            <v>0</v>
          </cell>
        </row>
        <row r="1227">
          <cell r="A1227" t="str">
            <v>37-1001568-1340</v>
          </cell>
          <cell r="B1227" t="str">
            <v>Cable Assy, Singleflex, 10mm, Blade-Pin, Black</v>
          </cell>
          <cell r="E1227">
            <v>51.988</v>
          </cell>
          <cell r="G1227">
            <v>0</v>
          </cell>
        </row>
        <row r="1228">
          <cell r="A1228" t="str">
            <v>37-1001568-500</v>
          </cell>
          <cell r="B1228" t="str">
            <v>Cable Assy, Singleflex, 10mm, Blade-Pin, Black</v>
          </cell>
          <cell r="E1228">
            <v>0</v>
          </cell>
          <cell r="G1228">
            <v>0</v>
          </cell>
        </row>
        <row r="1229">
          <cell r="A1229" t="str">
            <v>37-1001568-550</v>
          </cell>
          <cell r="B1229" t="str">
            <v>Cable Assy, Singleflex, 10mm, Blade-Pin, Black</v>
          </cell>
          <cell r="E1229">
            <v>28.92</v>
          </cell>
          <cell r="G1229">
            <v>0</v>
          </cell>
        </row>
        <row r="1230">
          <cell r="A1230" t="str">
            <v>37-1001568-600</v>
          </cell>
          <cell r="B1230" t="str">
            <v>Cable Assy, Singleflex, 10mm2, Blade-Pin, Black</v>
          </cell>
          <cell r="E1230">
            <v>0</v>
          </cell>
          <cell r="G1230">
            <v>0</v>
          </cell>
        </row>
        <row r="1231">
          <cell r="A1231" t="str">
            <v>37-1001568-700</v>
          </cell>
          <cell r="B1231" t="str">
            <v>Cable Assy, Singleflex, 10mm, Blade-Pin, Black</v>
          </cell>
          <cell r="E1231">
            <v>0</v>
          </cell>
          <cell r="G1231">
            <v>0</v>
          </cell>
        </row>
        <row r="1232">
          <cell r="A1232" t="str">
            <v>37-1001568-750</v>
          </cell>
          <cell r="B1232" t="str">
            <v>Cable Assy, Singleflex, 10mm, Blade-Pin, Black</v>
          </cell>
          <cell r="E1232">
            <v>54.37</v>
          </cell>
          <cell r="G1232">
            <v>1</v>
          </cell>
        </row>
        <row r="1233">
          <cell r="A1233" t="str">
            <v>37-1001568-850</v>
          </cell>
          <cell r="B1233" t="str">
            <v>Cable Assy, Singleflex, 10mm2, Blade-Pin, Black</v>
          </cell>
          <cell r="E1233">
            <v>0</v>
          </cell>
          <cell r="G1233">
            <v>0</v>
          </cell>
        </row>
        <row r="1234">
          <cell r="A1234" t="str">
            <v>37-1001568-880</v>
          </cell>
          <cell r="B1234" t="str">
            <v>Cable Assy, Singleflex, 10mm, Blade-Pin, Black</v>
          </cell>
          <cell r="E1234">
            <v>57.62</v>
          </cell>
          <cell r="G1234">
            <v>2</v>
          </cell>
        </row>
        <row r="1235">
          <cell r="A1235" t="str">
            <v>37-1001568-900</v>
          </cell>
          <cell r="B1235" t="str">
            <v>Cable Assy, Singleflex, 10mm2, Blade-Pin, Black</v>
          </cell>
          <cell r="E1235">
            <v>0</v>
          </cell>
          <cell r="G1235">
            <v>0</v>
          </cell>
        </row>
        <row r="1236">
          <cell r="A1236" t="str">
            <v>37-1001573</v>
          </cell>
          <cell r="B1236" t="str">
            <v>Cable Assy, Singleflex, 1mm2, 16mm2, T3, Red</v>
          </cell>
          <cell r="E1236">
            <v>39.1828</v>
          </cell>
          <cell r="G1236">
            <v>25</v>
          </cell>
        </row>
        <row r="1237">
          <cell r="A1237" t="str">
            <v>37-1001577</v>
          </cell>
          <cell r="B1237" t="str">
            <v>Cable Assy, Singleflex, 1mm2, 16mm2, T4, Red</v>
          </cell>
          <cell r="E1237">
            <v>44.77796</v>
          </cell>
          <cell r="G1237">
            <v>150</v>
          </cell>
        </row>
        <row r="1238">
          <cell r="A1238" t="str">
            <v>37-1001578</v>
          </cell>
          <cell r="B1238" t="str">
            <v>Cable Assy, Singleflex, 1mm2, 16mm2, T4, Black</v>
          </cell>
          <cell r="E1238">
            <v>45.339559999999999</v>
          </cell>
          <cell r="G1238">
            <v>150</v>
          </cell>
        </row>
        <row r="1239">
          <cell r="A1239" t="str">
            <v>37-1001579</v>
          </cell>
          <cell r="B1239" t="str">
            <v>Cable Assy, Singleflex, 1mm2, 16mm2, T3, Black</v>
          </cell>
          <cell r="E1239">
            <v>52.88</v>
          </cell>
          <cell r="G1239">
            <v>25</v>
          </cell>
        </row>
        <row r="1240">
          <cell r="A1240" t="str">
            <v>37-1001580</v>
          </cell>
          <cell r="B1240" t="str">
            <v>Cable Assy, Singleflex, 16mm2, T3, Black</v>
          </cell>
          <cell r="E1240">
            <v>83.840800000000002</v>
          </cell>
          <cell r="G1240">
            <v>25</v>
          </cell>
        </row>
        <row r="1241">
          <cell r="A1241" t="str">
            <v>37-1001581</v>
          </cell>
          <cell r="B1241" t="str">
            <v>Cable Assy, Singleflex, 16mm2, T3, Red</v>
          </cell>
          <cell r="E1241">
            <v>73.467200000000005</v>
          </cell>
          <cell r="G1241">
            <v>25</v>
          </cell>
        </row>
        <row r="1242">
          <cell r="A1242" t="str">
            <v>37-1001589</v>
          </cell>
          <cell r="B1242" t="str">
            <v>Cable Assy, Singleflex, 4mm2, T4, Red</v>
          </cell>
          <cell r="E1242">
            <v>18.962499999999999</v>
          </cell>
          <cell r="G1242">
            <v>4</v>
          </cell>
        </row>
        <row r="1243">
          <cell r="A1243" t="str">
            <v>37-1001590</v>
          </cell>
          <cell r="B1243" t="str">
            <v>Cable Assy, Singleflex, 4mm2, T4, Black</v>
          </cell>
          <cell r="E1243">
            <v>17.949000000000002</v>
          </cell>
          <cell r="G1243">
            <v>0</v>
          </cell>
        </row>
        <row r="1244">
          <cell r="A1244" t="str">
            <v>37-1001591-350</v>
          </cell>
          <cell r="B1244" t="str">
            <v>Cable Assy, Singleflex, 4mm2, Blade-Blade, Red</v>
          </cell>
          <cell r="E1244">
            <v>12.78917</v>
          </cell>
          <cell r="G1244">
            <v>12</v>
          </cell>
        </row>
        <row r="1245">
          <cell r="A1245" t="str">
            <v>37-1001592-350</v>
          </cell>
          <cell r="B1245" t="str">
            <v>Cable Assy, Singleflex, 4mm2, Blade-Blade, Black</v>
          </cell>
          <cell r="E1245">
            <v>12.688330000000001</v>
          </cell>
          <cell r="G1245">
            <v>12</v>
          </cell>
        </row>
        <row r="1246">
          <cell r="A1246" t="str">
            <v>37-1001594-900</v>
          </cell>
          <cell r="B1246" t="str">
            <v>Cable Assy, Cabtyre, 4mm2, 3 Core, 250</v>
          </cell>
          <cell r="E1246">
            <v>72.146000000000001</v>
          </cell>
          <cell r="G1246">
            <v>5</v>
          </cell>
        </row>
        <row r="1247">
          <cell r="A1247" t="str">
            <v>37-1001604-300</v>
          </cell>
          <cell r="B1247" t="str">
            <v>Cable Assy, Singleflex, 6mm, Bootlace-Pin, earth</v>
          </cell>
          <cell r="E1247">
            <v>11.404</v>
          </cell>
          <cell r="G1247">
            <v>15</v>
          </cell>
        </row>
        <row r="1248">
          <cell r="A1248" t="str">
            <v>37-1001629-350</v>
          </cell>
          <cell r="B1248" t="str">
            <v>Cable Assy, 2 Pair, DF11-Fork</v>
          </cell>
          <cell r="E1248">
            <v>0</v>
          </cell>
          <cell r="G1248">
            <v>0</v>
          </cell>
        </row>
        <row r="1249">
          <cell r="A1249" t="str">
            <v>37-1001629-500</v>
          </cell>
          <cell r="B1249" t="str">
            <v>Cable Assy, 2 pair, DF11-Bootlace</v>
          </cell>
          <cell r="E1249">
            <v>30.7</v>
          </cell>
          <cell r="G1249">
            <v>17</v>
          </cell>
        </row>
        <row r="1250">
          <cell r="A1250" t="str">
            <v>37-1001630</v>
          </cell>
          <cell r="B1250" t="str">
            <v>Cable Assy, 2 Pair, DF11-Bootlace-RJ45, T4</v>
          </cell>
          <cell r="E1250">
            <v>84.2</v>
          </cell>
          <cell r="G1250">
            <v>17</v>
          </cell>
        </row>
        <row r="1251">
          <cell r="A1251" t="str">
            <v>37-1001630-300</v>
          </cell>
          <cell r="B1251" t="str">
            <v>Cable Assy, 1 Pair, DF11-Bootlace, T3</v>
          </cell>
          <cell r="E1251">
            <v>0</v>
          </cell>
          <cell r="G1251">
            <v>0</v>
          </cell>
        </row>
        <row r="1252">
          <cell r="A1252" t="str">
            <v>37-1001631-300</v>
          </cell>
          <cell r="B1252" t="str">
            <v>Cable Assy, Cat5e, DF11-RJ45</v>
          </cell>
          <cell r="E1252">
            <v>0</v>
          </cell>
          <cell r="G1252">
            <v>0</v>
          </cell>
        </row>
        <row r="1253">
          <cell r="A1253" t="str">
            <v>37-1001631-500</v>
          </cell>
          <cell r="B1253" t="str">
            <v>Cable Assy, Cat5e, DF11-RJ45</v>
          </cell>
          <cell r="E1253">
            <v>30.3</v>
          </cell>
          <cell r="G1253">
            <v>17</v>
          </cell>
        </row>
        <row r="1254">
          <cell r="A1254" t="str">
            <v>37-1001632-300</v>
          </cell>
          <cell r="B1254" t="str">
            <v>Cable Assy, Cat5e, RJ45 - Bootlace</v>
          </cell>
          <cell r="E1254">
            <v>27.8</v>
          </cell>
          <cell r="G1254">
            <v>32</v>
          </cell>
        </row>
        <row r="1255">
          <cell r="A1255" t="str">
            <v>37-1001632-400</v>
          </cell>
          <cell r="B1255" t="str">
            <v>Cable Assy, Cat5e, RJ45 - Bootlace</v>
          </cell>
          <cell r="E1255">
            <v>27.8</v>
          </cell>
          <cell r="G1255">
            <v>5</v>
          </cell>
        </row>
        <row r="1256">
          <cell r="A1256" t="str">
            <v>37-1001632-600</v>
          </cell>
          <cell r="B1256" t="str">
            <v>Cable Assy, Cat5e, RJ45-Bootlace</v>
          </cell>
          <cell r="E1256">
            <v>4.0566700000000004</v>
          </cell>
          <cell r="G1256">
            <v>0</v>
          </cell>
        </row>
        <row r="1257">
          <cell r="A1257" t="str">
            <v>37-1001632-650</v>
          </cell>
          <cell r="B1257" t="str">
            <v>Cable Assy, Cat5e, RJ45 - Bootlace</v>
          </cell>
          <cell r="E1257">
            <v>0</v>
          </cell>
          <cell r="G1257">
            <v>0</v>
          </cell>
        </row>
        <row r="1258">
          <cell r="A1258" t="str">
            <v>37-1001632-800</v>
          </cell>
          <cell r="B1258" t="str">
            <v>Cable Assy, Cat5e, RJ45 - Bootlace</v>
          </cell>
          <cell r="E1258">
            <v>0</v>
          </cell>
          <cell r="G1258">
            <v>0</v>
          </cell>
        </row>
        <row r="1259">
          <cell r="A1259" t="str">
            <v>37-1001633-400</v>
          </cell>
          <cell r="B1259" t="str">
            <v>Cable Assy, 1pair, Bootlace-Bootlace</v>
          </cell>
          <cell r="E1259">
            <v>0</v>
          </cell>
          <cell r="G1259">
            <v>0</v>
          </cell>
        </row>
        <row r="1260">
          <cell r="A1260" t="str">
            <v>37-1001668</v>
          </cell>
          <cell r="B1260" t="str">
            <v>Cable Assy, Singleflex, 1mm², 16mm², T3, Red</v>
          </cell>
          <cell r="E1260">
            <v>21.71</v>
          </cell>
          <cell r="G1260">
            <v>0</v>
          </cell>
        </row>
        <row r="1261">
          <cell r="A1261" t="str">
            <v>37-1001669</v>
          </cell>
          <cell r="B1261" t="str">
            <v>Cable Assy, Singleflex, 1mm², 16mm², T3, Red</v>
          </cell>
          <cell r="E1261">
            <v>22.97</v>
          </cell>
          <cell r="G1261">
            <v>0</v>
          </cell>
        </row>
        <row r="1262">
          <cell r="A1262" t="str">
            <v>37-1001670</v>
          </cell>
          <cell r="B1262" t="str">
            <v>Cable Assy, Singleflex, 1mm², 16mm², T3, Black</v>
          </cell>
          <cell r="E1262">
            <v>21.364000000000001</v>
          </cell>
          <cell r="G1262">
            <v>0</v>
          </cell>
        </row>
        <row r="1263">
          <cell r="A1263" t="str">
            <v>37-1001671</v>
          </cell>
          <cell r="B1263" t="str">
            <v>Cable Assy, Singleflex, 1mm², 16mm², T3, Black</v>
          </cell>
          <cell r="E1263">
            <v>21.948</v>
          </cell>
          <cell r="G1263">
            <v>0</v>
          </cell>
        </row>
        <row r="1264">
          <cell r="A1264" t="str">
            <v>37-1001672</v>
          </cell>
          <cell r="B1264" t="str">
            <v>Cable Assy, Singleflex, 1mm², 16mm², T3, Blue</v>
          </cell>
          <cell r="E1264">
            <v>22.27</v>
          </cell>
          <cell r="G1264">
            <v>0</v>
          </cell>
        </row>
        <row r="1265">
          <cell r="A1265" t="str">
            <v>37-1001673</v>
          </cell>
          <cell r="B1265" t="str">
            <v>Cable Assy, Singleflex, 1mm², 16mm², T3, Blue</v>
          </cell>
          <cell r="E1265">
            <v>21.094000000000001</v>
          </cell>
          <cell r="G1265">
            <v>0</v>
          </cell>
        </row>
        <row r="1266">
          <cell r="A1266" t="str">
            <v>37-1001674</v>
          </cell>
          <cell r="B1266" t="str">
            <v>Cable Assy, Singleflex, 1mm², 16mm², T3, White</v>
          </cell>
          <cell r="E1266">
            <v>23.518000000000001</v>
          </cell>
          <cell r="G1266">
            <v>0</v>
          </cell>
        </row>
        <row r="1267">
          <cell r="A1267" t="str">
            <v>37-1001675</v>
          </cell>
          <cell r="B1267" t="str">
            <v>Cable Assy, Singleflex, 1mm², 16mm², T3, White</v>
          </cell>
          <cell r="E1267">
            <v>21.462</v>
          </cell>
          <cell r="G1267">
            <v>0</v>
          </cell>
        </row>
        <row r="1268">
          <cell r="A1268" t="str">
            <v>37-1001676-150</v>
          </cell>
          <cell r="B1268" t="str">
            <v>Cable Assy, Singleflex, 1mm², Bootlace-Bootlace, Red</v>
          </cell>
          <cell r="E1268">
            <v>3.4950000000000001</v>
          </cell>
          <cell r="G1268">
            <v>0</v>
          </cell>
        </row>
        <row r="1269">
          <cell r="A1269" t="str">
            <v>37-1001676-200</v>
          </cell>
          <cell r="B1269" t="str">
            <v>Cable Assy, Singleflex, 1mm2, Bootlace-Bootlace, Red</v>
          </cell>
          <cell r="E1269">
            <v>3.6520000000000001</v>
          </cell>
          <cell r="G1269">
            <v>0</v>
          </cell>
        </row>
        <row r="1270">
          <cell r="A1270" t="str">
            <v>37-1001676-250</v>
          </cell>
          <cell r="B1270" t="str">
            <v>Cable Assy, Singleflex, 1mm², Bootlace-Bootlace, Red</v>
          </cell>
          <cell r="E1270">
            <v>3.8279999999999998</v>
          </cell>
          <cell r="G1270">
            <v>0</v>
          </cell>
        </row>
        <row r="1271">
          <cell r="A1271" t="str">
            <v>37-1001676-300</v>
          </cell>
          <cell r="B1271" t="str">
            <v>Cable Assy, Singleflex, 1mm², Bootlace-Bootlace, Red</v>
          </cell>
          <cell r="E1271">
            <v>3.96</v>
          </cell>
          <cell r="G1271">
            <v>0</v>
          </cell>
        </row>
        <row r="1272">
          <cell r="A1272" t="str">
            <v>37-1001676-350</v>
          </cell>
          <cell r="B1272" t="str">
            <v>Cable Assy, Singleflex, 1mm², Bootlace-Bootlace, Red</v>
          </cell>
          <cell r="E1272">
            <v>4.1139999999999999</v>
          </cell>
          <cell r="G1272">
            <v>0</v>
          </cell>
        </row>
        <row r="1273">
          <cell r="A1273" t="str">
            <v>37-1001676-360</v>
          </cell>
          <cell r="B1273" t="str">
            <v>Cable Assy, Singleflex, 1mm², Bootlace-Bootlace, Red</v>
          </cell>
          <cell r="E1273">
            <v>4.1440000000000001</v>
          </cell>
          <cell r="G1273">
            <v>0</v>
          </cell>
        </row>
        <row r="1274">
          <cell r="A1274" t="str">
            <v>37-1001676-400</v>
          </cell>
          <cell r="B1274" t="str">
            <v>Cable Assy, Singleflex, 1mm², Bootlace-Bootlace, Red</v>
          </cell>
          <cell r="E1274">
            <v>4.2679999999999998</v>
          </cell>
          <cell r="G1274">
            <v>0</v>
          </cell>
        </row>
        <row r="1275">
          <cell r="A1275" t="str">
            <v>37-1001676-500</v>
          </cell>
          <cell r="B1275" t="str">
            <v>Cable Assy, Singleflex, 1mm², Bootlace-Bootlace, Red</v>
          </cell>
          <cell r="E1275">
            <v>4.5759999999999996</v>
          </cell>
          <cell r="G1275">
            <v>0</v>
          </cell>
        </row>
        <row r="1276">
          <cell r="A1276" t="str">
            <v>37-1001677-250</v>
          </cell>
          <cell r="B1276" t="str">
            <v>Cable Assy, Singleflex, 1mm², Bootlace-Bootlace, White</v>
          </cell>
          <cell r="E1276">
            <v>3.7789999999999999</v>
          </cell>
          <cell r="G1276">
            <v>0</v>
          </cell>
        </row>
        <row r="1277">
          <cell r="A1277" t="str">
            <v>37-1001677-300</v>
          </cell>
          <cell r="B1277" t="str">
            <v>Cable Assy, Singleflex, 1mm², Bootlace-Bootlace, White</v>
          </cell>
          <cell r="E1277">
            <v>0</v>
          </cell>
          <cell r="G1277">
            <v>0</v>
          </cell>
        </row>
        <row r="1278">
          <cell r="A1278" t="str">
            <v>37-1001677-360</v>
          </cell>
          <cell r="B1278" t="str">
            <v>Cable Assy, Singleflex, 1mm², Bootlace-Bootlace, White</v>
          </cell>
          <cell r="E1278">
            <v>4.1059999999999999</v>
          </cell>
          <cell r="G1278">
            <v>0</v>
          </cell>
        </row>
        <row r="1279">
          <cell r="A1279" t="str">
            <v>37-1001677-400</v>
          </cell>
          <cell r="B1279" t="str">
            <v>Cable Assy, Singleflex, 1mm², Bootlace-Bootlace, White</v>
          </cell>
          <cell r="E1279">
            <v>4.2240000000000002</v>
          </cell>
          <cell r="G1279">
            <v>0</v>
          </cell>
        </row>
        <row r="1280">
          <cell r="A1280" t="str">
            <v>37-1001677-500</v>
          </cell>
          <cell r="B1280" t="str">
            <v>Cable Assy, singleflex, 1mm, Bootlace-Bootlace, White</v>
          </cell>
          <cell r="E1280">
            <v>4.5209999999999999</v>
          </cell>
          <cell r="G1280">
            <v>0</v>
          </cell>
        </row>
        <row r="1281">
          <cell r="A1281" t="str">
            <v>37-1001678-180</v>
          </cell>
          <cell r="B1281" t="str">
            <v>Cable Assy, Singleflex, 1mm², Bootlace-Bootlace, Blue</v>
          </cell>
          <cell r="E1281">
            <v>3.57</v>
          </cell>
          <cell r="G1281">
            <v>0</v>
          </cell>
        </row>
        <row r="1282">
          <cell r="A1282" t="str">
            <v>37-1001678-250</v>
          </cell>
          <cell r="B1282" t="str">
            <v>Cable Assy, Singleflex, 1mm², Bootlace-Bootlace, Blue</v>
          </cell>
          <cell r="E1282">
            <v>3.802</v>
          </cell>
          <cell r="G1282">
            <v>0</v>
          </cell>
        </row>
        <row r="1283">
          <cell r="A1283" t="str">
            <v>37-1001678-300</v>
          </cell>
          <cell r="B1283" t="str">
            <v>Cable Assy, Singleflex, 1mm², Bootlace-Bootlace, Blue</v>
          </cell>
          <cell r="E1283">
            <v>0</v>
          </cell>
          <cell r="G1283">
            <v>0</v>
          </cell>
        </row>
        <row r="1284">
          <cell r="A1284" t="str">
            <v>37-1001678-350</v>
          </cell>
          <cell r="B1284" t="str">
            <v>Cable Assy, Singleflex, 1mm², Bootlace-Bootlace, Blue</v>
          </cell>
          <cell r="E1284">
            <v>4.0940000000000003</v>
          </cell>
          <cell r="G1284">
            <v>0</v>
          </cell>
        </row>
        <row r="1285">
          <cell r="A1285" t="str">
            <v>37-1001678-360</v>
          </cell>
          <cell r="B1285" t="str">
            <v>Cable Assy, Singleflex, 1mm², Bootlace-Bootlace, Blue</v>
          </cell>
          <cell r="E1285">
            <v>4.1059999999999999</v>
          </cell>
          <cell r="G1285">
            <v>0</v>
          </cell>
        </row>
        <row r="1286">
          <cell r="A1286" t="str">
            <v>37-1001678-400</v>
          </cell>
          <cell r="B1286" t="str">
            <v>Cable Assy, Singleflex, 1mm², Bootlace-Bootlace, Blue</v>
          </cell>
          <cell r="E1286">
            <v>0</v>
          </cell>
          <cell r="G1286">
            <v>0</v>
          </cell>
        </row>
        <row r="1287">
          <cell r="A1287" t="str">
            <v>37-1001678-500</v>
          </cell>
          <cell r="B1287" t="str">
            <v>Cable Assy, Singleflex, 1mm², Bootlace-Bootlace, Blue</v>
          </cell>
          <cell r="E1287">
            <v>4.5439999999999996</v>
          </cell>
          <cell r="G1287">
            <v>0</v>
          </cell>
        </row>
        <row r="1288">
          <cell r="A1288" t="str">
            <v>37-1001679</v>
          </cell>
          <cell r="B1288" t="str">
            <v>Cable Assy, Singleflex, 1mm², T3, Red</v>
          </cell>
          <cell r="E1288">
            <v>5.45</v>
          </cell>
          <cell r="G1288">
            <v>0</v>
          </cell>
        </row>
        <row r="1289">
          <cell r="A1289" t="str">
            <v>37-1001680</v>
          </cell>
          <cell r="B1289" t="str">
            <v>Cable Assy, Singleflex, 1mm², T3, Black</v>
          </cell>
          <cell r="E1289">
            <v>5.3079999999999998</v>
          </cell>
          <cell r="G1289">
            <v>0</v>
          </cell>
        </row>
        <row r="1290">
          <cell r="A1290" t="str">
            <v>37-1001685-500</v>
          </cell>
          <cell r="B1290" t="str">
            <v>Cable Assy, Singleflex, 1mm2, Bootlace, Red</v>
          </cell>
          <cell r="E1290">
            <v>0</v>
          </cell>
          <cell r="G1290">
            <v>0</v>
          </cell>
        </row>
        <row r="1291">
          <cell r="A1291" t="str">
            <v>37-1001686-500</v>
          </cell>
          <cell r="B1291" t="str">
            <v>Cable Assy, Singleflex, 1mm2, Bootlace, Black</v>
          </cell>
          <cell r="E1291">
            <v>0</v>
          </cell>
          <cell r="G1291">
            <v>0</v>
          </cell>
        </row>
        <row r="1292">
          <cell r="A1292" t="str">
            <v>37-1001687-500</v>
          </cell>
          <cell r="B1292" t="str">
            <v>Cable Assy, Singleflex, 1mm2, Bootlace, Green</v>
          </cell>
          <cell r="E1292">
            <v>0</v>
          </cell>
          <cell r="G1292">
            <v>0</v>
          </cell>
        </row>
        <row r="1293">
          <cell r="A1293" t="str">
            <v>37-1001688-200</v>
          </cell>
          <cell r="B1293" t="str">
            <v>Cable Assy, Singleflex, 1mm2, Bootlace-Bootlace, Red</v>
          </cell>
          <cell r="E1293">
            <v>0</v>
          </cell>
          <cell r="G1293">
            <v>0</v>
          </cell>
        </row>
        <row r="1294">
          <cell r="A1294" t="str">
            <v>37-1001688-500</v>
          </cell>
          <cell r="B1294" t="str">
            <v>Cable Assy, Singleflex, 1mm, F Disconnect - Bootlace, Red</v>
          </cell>
          <cell r="E1294">
            <v>5.4560000000000004</v>
          </cell>
          <cell r="G1294">
            <v>0</v>
          </cell>
        </row>
        <row r="1295">
          <cell r="A1295" t="str">
            <v>37-1001689-500</v>
          </cell>
          <cell r="B1295" t="str">
            <v>Cable Assy, Singleflex, 1mm, F Disconnect - Bootlace, Black</v>
          </cell>
          <cell r="E1295">
            <v>5.1779999999999999</v>
          </cell>
          <cell r="G1295">
            <v>0</v>
          </cell>
        </row>
        <row r="1296">
          <cell r="A1296" t="str">
            <v>37-1001690-150</v>
          </cell>
          <cell r="B1296" t="str">
            <v>Cable Assy, Singleflex, 1mm, F Disconnect - Ring, Red</v>
          </cell>
          <cell r="E1296">
            <v>4.8</v>
          </cell>
          <cell r="G1296">
            <v>0</v>
          </cell>
        </row>
        <row r="1297">
          <cell r="A1297" t="str">
            <v>37-1001690-400</v>
          </cell>
          <cell r="B1297" t="str">
            <v>Cable Assy, Singleflex, 1mm2, Bootlace-Bootlace, Earth</v>
          </cell>
          <cell r="E1297">
            <v>0</v>
          </cell>
          <cell r="G1297">
            <v>0</v>
          </cell>
        </row>
        <row r="1298">
          <cell r="A1298" t="str">
            <v>37-1001693-400</v>
          </cell>
          <cell r="B1298" t="str">
            <v>Cable Assy, Cat5e, RJ45-Bootlace</v>
          </cell>
          <cell r="E1298">
            <v>0</v>
          </cell>
          <cell r="G1298">
            <v>0</v>
          </cell>
        </row>
        <row r="1299">
          <cell r="A1299" t="str">
            <v>37-1001744</v>
          </cell>
          <cell r="B1299" t="str">
            <v>Cable Assy, Singleflex, 1mm, 16mm, T3, Black</v>
          </cell>
          <cell r="E1299">
            <v>25.7742</v>
          </cell>
          <cell r="G1299">
            <v>125</v>
          </cell>
        </row>
        <row r="1300">
          <cell r="A1300" t="str">
            <v>37-1001745</v>
          </cell>
          <cell r="B1300" t="str">
            <v>Cable Assy, Singleflex, 16mm2, T3, Black</v>
          </cell>
          <cell r="E1300">
            <v>78.695080000000004</v>
          </cell>
          <cell r="G1300">
            <v>75</v>
          </cell>
        </row>
        <row r="1301">
          <cell r="A1301" t="str">
            <v>37-1001746</v>
          </cell>
          <cell r="B1301" t="str">
            <v>Cable Assy, Singleflex, 16mm2, T3, Red</v>
          </cell>
          <cell r="E1301">
            <v>70.553889999999996</v>
          </cell>
          <cell r="G1301">
            <v>75</v>
          </cell>
        </row>
        <row r="1302">
          <cell r="A1302" t="str">
            <v>37-1001754</v>
          </cell>
          <cell r="B1302" t="str">
            <v xml:space="preserve">Cable Assy, Singleflex, 1mm, 16mm, T3, Red </v>
          </cell>
          <cell r="E1302">
            <v>25.982949999999999</v>
          </cell>
          <cell r="G1302">
            <v>125</v>
          </cell>
        </row>
        <row r="1303">
          <cell r="A1303" t="str">
            <v>37-1001809-200</v>
          </cell>
          <cell r="B1303" t="str">
            <v>Cable Assy, Singleflex, 6mm2, Blade-Blade, Red</v>
          </cell>
          <cell r="E1303">
            <v>0</v>
          </cell>
          <cell r="G1303">
            <v>0</v>
          </cell>
        </row>
        <row r="1304">
          <cell r="A1304" t="str">
            <v>37-1001809-600</v>
          </cell>
          <cell r="B1304" t="str">
            <v xml:space="preserve">Cable Assy, Singleflex, 6mm2, Blade-Blade, Red </v>
          </cell>
          <cell r="E1304">
            <v>0</v>
          </cell>
          <cell r="G1304">
            <v>0</v>
          </cell>
        </row>
        <row r="1305">
          <cell r="A1305" t="str">
            <v>37-1001810-120</v>
          </cell>
          <cell r="B1305" t="str">
            <v>Cable Assy, Singleflex, 6mm2, Blade-Blade, Black</v>
          </cell>
          <cell r="E1305">
            <v>0</v>
          </cell>
          <cell r="G1305">
            <v>0</v>
          </cell>
        </row>
        <row r="1306">
          <cell r="A1306" t="str">
            <v>37-1001810-200</v>
          </cell>
          <cell r="B1306" t="str">
            <v>Cable Assy, Singleflex, 6mm2, Blade-Blade, Black</v>
          </cell>
          <cell r="E1306">
            <v>0</v>
          </cell>
          <cell r="G1306">
            <v>0</v>
          </cell>
        </row>
        <row r="1307">
          <cell r="A1307" t="str">
            <v>37-1001810-700</v>
          </cell>
          <cell r="B1307" t="str">
            <v>Cable Assy, Singleflex, 6mm2, Blade-Blade, Black</v>
          </cell>
          <cell r="E1307">
            <v>0</v>
          </cell>
          <cell r="G1307">
            <v>0</v>
          </cell>
        </row>
        <row r="1308">
          <cell r="A1308" t="str">
            <v>37-1001811</v>
          </cell>
          <cell r="B1308" t="str">
            <v>Cable Assy, E4 Controller, Type A</v>
          </cell>
          <cell r="E1308">
            <v>99.782480000000007</v>
          </cell>
          <cell r="G1308">
            <v>60</v>
          </cell>
        </row>
        <row r="1309">
          <cell r="A1309" t="str">
            <v>37-1001831</v>
          </cell>
          <cell r="B1309" t="str">
            <v>Cable Assy, Singleflex, 1mm2, 16mm2, T3, Red</v>
          </cell>
          <cell r="E1309">
            <v>29</v>
          </cell>
          <cell r="G1309">
            <v>0</v>
          </cell>
        </row>
        <row r="1310">
          <cell r="A1310" t="str">
            <v>37-1001832</v>
          </cell>
          <cell r="B1310" t="str">
            <v>Cable Assy, Singleflex, 1mm2, 16mm2, T3, White</v>
          </cell>
          <cell r="E1310">
            <v>28.77</v>
          </cell>
          <cell r="G1310">
            <v>0</v>
          </cell>
        </row>
        <row r="1311">
          <cell r="A1311" t="str">
            <v>37-1001833</v>
          </cell>
          <cell r="B1311" t="str">
            <v>Cable Assy, Singleflex, 1mm2, 16mm2, T3, Blue</v>
          </cell>
          <cell r="E1311">
            <v>27.995000000000001</v>
          </cell>
          <cell r="G1311">
            <v>0</v>
          </cell>
        </row>
        <row r="1312">
          <cell r="A1312" t="str">
            <v>37-1001834</v>
          </cell>
          <cell r="B1312" t="str">
            <v>Cable Assy, Singleflex, 1mm2, 16mm2, T3, Black</v>
          </cell>
          <cell r="E1312">
            <v>28.42</v>
          </cell>
          <cell r="G1312">
            <v>0</v>
          </cell>
        </row>
        <row r="1313">
          <cell r="A1313" t="str">
            <v>37-1001835-250</v>
          </cell>
          <cell r="B1313" t="str">
            <v>Cable Assy, Singleflex, 1mm, Bootlace-Bootlace, Earth</v>
          </cell>
          <cell r="E1313">
            <v>3.802</v>
          </cell>
          <cell r="G1313">
            <v>0</v>
          </cell>
        </row>
        <row r="1314">
          <cell r="A1314" t="str">
            <v>37-1001835-300</v>
          </cell>
          <cell r="B1314" t="str">
            <v>Cable Assy, Singleflex, 1mm², Bootlace-Bootlace, Earth</v>
          </cell>
          <cell r="E1314">
            <v>3.9249999999999998</v>
          </cell>
          <cell r="G1314">
            <v>0</v>
          </cell>
        </row>
        <row r="1315">
          <cell r="A1315" t="str">
            <v>37-1001835-450</v>
          </cell>
          <cell r="B1315" t="str">
            <v>Cable Assy, Singleflex, 1mm, Bootlace-Bootlace, Earth</v>
          </cell>
          <cell r="E1315">
            <v>-3.6040000000000001</v>
          </cell>
          <cell r="G1315">
            <v>0</v>
          </cell>
        </row>
        <row r="1316">
          <cell r="A1316" t="str">
            <v>37-1001835-650</v>
          </cell>
          <cell r="B1316" t="str">
            <v>Cable Assy, Singleflex, 1mm, Bootlace-Bootlace, Earth</v>
          </cell>
          <cell r="E1316">
            <v>4.9660000000000002</v>
          </cell>
          <cell r="G1316">
            <v>0</v>
          </cell>
        </row>
        <row r="1317">
          <cell r="A1317" t="str">
            <v>37-1001836-150</v>
          </cell>
          <cell r="B1317" t="str">
            <v>Cable Assy, 1 pair, DF11-Bootlace</v>
          </cell>
          <cell r="E1317">
            <v>6.12</v>
          </cell>
          <cell r="G1317">
            <v>0</v>
          </cell>
        </row>
        <row r="1318">
          <cell r="A1318" t="str">
            <v>37-1001838-250</v>
          </cell>
          <cell r="B1318" t="str">
            <v>Cable Assy, Singleflex, 16mm2, Blade-Blade, Earth</v>
          </cell>
          <cell r="E1318">
            <v>0</v>
          </cell>
          <cell r="G1318">
            <v>0</v>
          </cell>
        </row>
        <row r="1319">
          <cell r="A1319" t="str">
            <v>37-1001839</v>
          </cell>
          <cell r="B1319" t="str">
            <v>Cable Assy, 0.75mm2, Morley AC Power</v>
          </cell>
          <cell r="E1319">
            <v>27.95</v>
          </cell>
          <cell r="G1319">
            <v>0</v>
          </cell>
        </row>
        <row r="1320">
          <cell r="A1320" t="str">
            <v>37-1001882</v>
          </cell>
          <cell r="B1320" t="str">
            <v>Cable Assy, Inverter COMMS, Reset Button</v>
          </cell>
          <cell r="E1320">
            <v>75.62621</v>
          </cell>
          <cell r="G1320">
            <v>206</v>
          </cell>
        </row>
        <row r="1321">
          <cell r="A1321" t="str">
            <v>37-1001926</v>
          </cell>
          <cell r="B1321" t="str">
            <v>Cable Assy, Singleflex, 1mm2, 6mm2, T4, Red</v>
          </cell>
          <cell r="E1321">
            <v>0</v>
          </cell>
          <cell r="G1321">
            <v>0</v>
          </cell>
        </row>
        <row r="1322">
          <cell r="A1322" t="str">
            <v>37-1001927</v>
          </cell>
          <cell r="B1322" t="str">
            <v>Cable Assy, Singleflex, 1mm2, 6mm2, T4, Black</v>
          </cell>
          <cell r="E1322">
            <v>0</v>
          </cell>
          <cell r="G1322">
            <v>0</v>
          </cell>
        </row>
        <row r="1323">
          <cell r="A1323" t="str">
            <v>37-1001928</v>
          </cell>
          <cell r="B1323" t="str">
            <v xml:space="preserve">Cable Assy, Singleflex, 1mm, 6mm, T3, Red </v>
          </cell>
          <cell r="E1323">
            <v>0</v>
          </cell>
          <cell r="G1323">
            <v>0</v>
          </cell>
        </row>
        <row r="1324">
          <cell r="A1324" t="str">
            <v>37-1001929</v>
          </cell>
          <cell r="B1324" t="str">
            <v>Cable Assy, Singleflex, 1mm, 6mm, T3, Black</v>
          </cell>
          <cell r="E1324">
            <v>0</v>
          </cell>
          <cell r="G1324">
            <v>0</v>
          </cell>
        </row>
        <row r="1325">
          <cell r="A1325" t="str">
            <v>37-1001932-200</v>
          </cell>
          <cell r="B1325" t="str">
            <v>Cable Assy,  Controller Battery Coms_R&amp;D Build</v>
          </cell>
          <cell r="E1325">
            <v>7.19</v>
          </cell>
          <cell r="G1325">
            <v>0</v>
          </cell>
        </row>
        <row r="1326">
          <cell r="A1326" t="str">
            <v>37-1001932-250</v>
          </cell>
          <cell r="B1326" t="str">
            <v>Cable Assy, Controller Battery Coms</v>
          </cell>
          <cell r="E1326">
            <v>29</v>
          </cell>
          <cell r="G1326">
            <v>203</v>
          </cell>
        </row>
        <row r="1327">
          <cell r="A1327" t="str">
            <v>37-1001932-400</v>
          </cell>
          <cell r="B1327" t="str">
            <v>Cable Assy, Controller Battery Coms</v>
          </cell>
          <cell r="E1327">
            <v>29</v>
          </cell>
          <cell r="G1327">
            <v>284</v>
          </cell>
        </row>
        <row r="1328">
          <cell r="A1328" t="str">
            <v>37-1001932-800</v>
          </cell>
          <cell r="B1328" t="str">
            <v xml:space="preserve">Cable Assy,  Controller Battery Coms </v>
          </cell>
          <cell r="E1328">
            <v>29</v>
          </cell>
          <cell r="G1328">
            <v>359</v>
          </cell>
        </row>
        <row r="1329">
          <cell r="A1329" t="str">
            <v>37-1001946-150</v>
          </cell>
          <cell r="B1329" t="str">
            <v xml:space="preserve">Cable Assy, PV, 10mm2, Pin-Pin, Red </v>
          </cell>
          <cell r="E1329">
            <v>18.399999999999999</v>
          </cell>
          <cell r="G1329">
            <v>0</v>
          </cell>
        </row>
        <row r="1330">
          <cell r="A1330" t="str">
            <v>37-1001946-800</v>
          </cell>
          <cell r="B1330" t="str">
            <v xml:space="preserve">Cable Assy, PV, 10mm2, Pin-Pin, Red </v>
          </cell>
          <cell r="E1330">
            <v>55.774999999999999</v>
          </cell>
          <cell r="G1330">
            <v>2</v>
          </cell>
        </row>
        <row r="1331">
          <cell r="A1331" t="str">
            <v>37-1001946-900</v>
          </cell>
          <cell r="B1331" t="str">
            <v xml:space="preserve">Cable Assy, PV, 10mm2, Pin-Pin, Red </v>
          </cell>
          <cell r="E1331">
            <v>0</v>
          </cell>
          <cell r="G1331">
            <v>0</v>
          </cell>
        </row>
        <row r="1332">
          <cell r="A1332" t="str">
            <v>37-1001947-150</v>
          </cell>
          <cell r="B1332" t="str">
            <v>Cable Assy, PV, 10mm2, Pin-Pin, Black</v>
          </cell>
          <cell r="E1332">
            <v>18.441600000000001</v>
          </cell>
          <cell r="G1332">
            <v>0</v>
          </cell>
        </row>
        <row r="1333">
          <cell r="A1333" t="str">
            <v>37-1001947-800</v>
          </cell>
          <cell r="B1333" t="str">
            <v>Cable Assy, PV, 10mm2, Pin-Pin, Black</v>
          </cell>
          <cell r="E1333">
            <v>54.895000000000003</v>
          </cell>
          <cell r="G1333">
            <v>2</v>
          </cell>
        </row>
        <row r="1334">
          <cell r="A1334" t="str">
            <v>37-1001947-900</v>
          </cell>
          <cell r="B1334" t="str">
            <v>Cable Assy, PV, 10mm2, Pin-Pin, Black</v>
          </cell>
          <cell r="E1334">
            <v>0</v>
          </cell>
          <cell r="G1334">
            <v>0</v>
          </cell>
        </row>
        <row r="1335">
          <cell r="A1335" t="str">
            <v>37-1001963</v>
          </cell>
          <cell r="B1335" t="str">
            <v>Cable Assy, E4 Controller Loom, Type B</v>
          </cell>
          <cell r="E1335">
            <v>135.79338999999999</v>
          </cell>
          <cell r="G1335">
            <v>71</v>
          </cell>
        </row>
        <row r="1336">
          <cell r="A1336" t="str">
            <v>37-1001975</v>
          </cell>
          <cell r="B1336" t="str">
            <v>Cable Assy, Singeflex, 1mm, 16mm, T4, Black</v>
          </cell>
          <cell r="E1336">
            <v>73.12</v>
          </cell>
          <cell r="G1336">
            <v>1</v>
          </cell>
        </row>
        <row r="1337">
          <cell r="A1337" t="str">
            <v>37-1001977</v>
          </cell>
          <cell r="B1337" t="str">
            <v>Cable Assy, Singeflex, 16mm, T3, Red</v>
          </cell>
          <cell r="E1337">
            <v>82.2</v>
          </cell>
          <cell r="G1337">
            <v>1</v>
          </cell>
        </row>
        <row r="1338">
          <cell r="A1338" t="str">
            <v>37-1001978</v>
          </cell>
          <cell r="B1338" t="str">
            <v>Cable Assy, Singleflex, 1mm2, T3, Red</v>
          </cell>
          <cell r="E1338">
            <v>4.585</v>
          </cell>
          <cell r="G1338">
            <v>0</v>
          </cell>
        </row>
        <row r="1339">
          <cell r="A1339" t="str">
            <v>37-1001979</v>
          </cell>
          <cell r="B1339" t="str">
            <v>Cable Assy, Singleflex, 1mm2, T3, Black</v>
          </cell>
          <cell r="E1339">
            <v>4.5049999999999999</v>
          </cell>
          <cell r="G1339">
            <v>0</v>
          </cell>
        </row>
        <row r="1340">
          <cell r="A1340" t="str">
            <v>37-1001981</v>
          </cell>
          <cell r="B1340" t="str">
            <v>Cable Assy, Singleflex, 1mm2, T3, Black</v>
          </cell>
          <cell r="E1340">
            <v>4.28</v>
          </cell>
          <cell r="G1340">
            <v>0</v>
          </cell>
        </row>
        <row r="1341">
          <cell r="A1341" t="str">
            <v>37-1001982</v>
          </cell>
          <cell r="B1341" t="str">
            <v>Cable Assy, Singleflex, 1mm2, T3, Black</v>
          </cell>
          <cell r="E1341">
            <v>4.218</v>
          </cell>
          <cell r="G1341">
            <v>0</v>
          </cell>
        </row>
        <row r="1342">
          <cell r="A1342" t="str">
            <v>37-1001995</v>
          </cell>
          <cell r="B1342" t="str">
            <v>Cable Assy, Singeflex, 1mm, 4mm, T3, Red</v>
          </cell>
          <cell r="E1342">
            <v>12.29</v>
          </cell>
          <cell r="G1342">
            <v>0</v>
          </cell>
        </row>
        <row r="1343">
          <cell r="A1343" t="str">
            <v>37-1001996</v>
          </cell>
          <cell r="B1343" t="str">
            <v>Cable Assy, Singeflex, 1mm 4mm, T3, Black</v>
          </cell>
          <cell r="E1343">
            <v>11.356</v>
          </cell>
          <cell r="G1343">
            <v>0</v>
          </cell>
        </row>
        <row r="1344">
          <cell r="A1344" t="str">
            <v>37-1001998</v>
          </cell>
          <cell r="B1344" t="str">
            <v>Cable Assy, Cat5e, RJ45-Bootlace-RJ45, T4</v>
          </cell>
          <cell r="E1344">
            <v>70.400000000000006</v>
          </cell>
          <cell r="G1344">
            <v>32</v>
          </cell>
        </row>
        <row r="1345">
          <cell r="A1345" t="str">
            <v>37-1001999</v>
          </cell>
          <cell r="B1345" t="str">
            <v>Cable Assy, Cat5e, RJ45-Bootlace-RJ45, T3</v>
          </cell>
          <cell r="E1345">
            <v>63.2</v>
          </cell>
          <cell r="G1345">
            <v>7</v>
          </cell>
        </row>
        <row r="1346">
          <cell r="A1346" t="str">
            <v>37-1002008-250</v>
          </cell>
          <cell r="B1346" t="str">
            <v xml:space="preserve">Cable Assy, Singleflex, 1mm, Ring - Fork, Earth </v>
          </cell>
          <cell r="E1346">
            <v>0</v>
          </cell>
          <cell r="G1346">
            <v>0</v>
          </cell>
        </row>
        <row r="1347">
          <cell r="A1347" t="str">
            <v>37-1002009-300</v>
          </cell>
          <cell r="B1347" t="str">
            <v xml:space="preserve">Cable Assy, LED - Bootlace, Green  </v>
          </cell>
          <cell r="E1347">
            <v>27</v>
          </cell>
          <cell r="G1347">
            <v>12</v>
          </cell>
        </row>
        <row r="1348">
          <cell r="A1348" t="str">
            <v>37-1002010-500</v>
          </cell>
          <cell r="B1348" t="str">
            <v xml:space="preserve">Cable Assy, LED - DF11, Blue </v>
          </cell>
          <cell r="E1348">
            <v>30.95</v>
          </cell>
          <cell r="G1348">
            <v>12</v>
          </cell>
        </row>
        <row r="1349">
          <cell r="A1349" t="str">
            <v>37-1002011</v>
          </cell>
          <cell r="B1349" t="str">
            <v xml:space="preserve">Cable Assy, POE Status indicator, Q-Cabinet Controller </v>
          </cell>
          <cell r="E1349">
            <v>0</v>
          </cell>
          <cell r="G1349">
            <v>0</v>
          </cell>
        </row>
        <row r="1350">
          <cell r="A1350" t="str">
            <v>37-1002019-2200</v>
          </cell>
          <cell r="B1350" t="str">
            <v>Cable, Assy, Permopower, 50mm2, Ring-Ring, Black</v>
          </cell>
          <cell r="E1350">
            <v>0</v>
          </cell>
          <cell r="G1350">
            <v>0</v>
          </cell>
        </row>
        <row r="1351">
          <cell r="A1351" t="str">
            <v>37-1002026-400</v>
          </cell>
          <cell r="B1351" t="str">
            <v>Cable, Singleflex, 1mm, Bootlace-Fork, Purple</v>
          </cell>
          <cell r="E1351">
            <v>4.5339999999999998</v>
          </cell>
          <cell r="G1351">
            <v>0</v>
          </cell>
        </row>
        <row r="1352">
          <cell r="A1352" t="str">
            <v>37-1002027-400</v>
          </cell>
          <cell r="B1352" t="str">
            <v>Cable, Singleflex, 1mm, Bootlace-Fork, Pink</v>
          </cell>
          <cell r="E1352">
            <v>4.5659999999999998</v>
          </cell>
          <cell r="G1352">
            <v>0</v>
          </cell>
        </row>
        <row r="1353">
          <cell r="A1353" t="str">
            <v>37-1002028-400</v>
          </cell>
          <cell r="B1353" t="str">
            <v>Cable, Singleflex, 1mm, Bootlace-Fork, Orange</v>
          </cell>
          <cell r="E1353">
            <v>4.5339999999999998</v>
          </cell>
          <cell r="G1353">
            <v>0</v>
          </cell>
        </row>
        <row r="1354">
          <cell r="A1354" t="str">
            <v>37-1002029-400</v>
          </cell>
          <cell r="B1354" t="str">
            <v>Cable, Singleflex, 1mm, Bootlace-Fork, Grey</v>
          </cell>
          <cell r="E1354">
            <v>0</v>
          </cell>
          <cell r="G1354">
            <v>0</v>
          </cell>
        </row>
        <row r="1355">
          <cell r="A1355" t="str">
            <v>37-1002030-2750</v>
          </cell>
          <cell r="B1355" t="str">
            <v>Cable Assy, Singleflex, 2,5mm2, Bootlace-Ring, Black</v>
          </cell>
          <cell r="E1355">
            <v>0</v>
          </cell>
          <cell r="G1355">
            <v>0</v>
          </cell>
        </row>
        <row r="1356">
          <cell r="A1356" t="str">
            <v>37-1002031-2750</v>
          </cell>
          <cell r="B1356" t="str">
            <v>Cable Assy, Singleflex, 2,5mm2, Bootlace, Black</v>
          </cell>
          <cell r="E1356">
            <v>0</v>
          </cell>
          <cell r="G1356">
            <v>0</v>
          </cell>
        </row>
        <row r="1357">
          <cell r="A1357" t="str">
            <v>37-1002032-100</v>
          </cell>
          <cell r="B1357" t="str">
            <v>Cable Assy, Singleflex, 2,5mm2, Fork-Fork, Black</v>
          </cell>
          <cell r="E1357">
            <v>0</v>
          </cell>
          <cell r="G1357">
            <v>0</v>
          </cell>
        </row>
        <row r="1358">
          <cell r="A1358" t="str">
            <v>37-1002034-100</v>
          </cell>
          <cell r="B1358" t="str">
            <v>Cable, Singleflex, 1mm2, Bootlace-Bootlace, Purple</v>
          </cell>
          <cell r="E1358">
            <v>3.3260000000000001</v>
          </cell>
          <cell r="G1358">
            <v>0</v>
          </cell>
        </row>
        <row r="1359">
          <cell r="A1359" t="str">
            <v>37-1002035-100</v>
          </cell>
          <cell r="B1359" t="str">
            <v>Cable, Singleflex, 1mm2, Bootlace-Bootlace, Grey</v>
          </cell>
          <cell r="E1359">
            <v>3.3260000000000001</v>
          </cell>
          <cell r="G1359">
            <v>0</v>
          </cell>
        </row>
        <row r="1360">
          <cell r="A1360" t="str">
            <v>37-1002050-1200</v>
          </cell>
          <cell r="B1360" t="str">
            <v>Cable, Assy, Permopower, 50mm2, Ring-Ring, Black</v>
          </cell>
          <cell r="E1360">
            <v>0</v>
          </cell>
          <cell r="G1360">
            <v>0</v>
          </cell>
        </row>
        <row r="1361">
          <cell r="A1361" t="str">
            <v>37-1002067-150</v>
          </cell>
          <cell r="B1361" t="str">
            <v xml:space="preserve">Cable Assy, Singleflex, 4mm2, Blade-Blade, Red </v>
          </cell>
          <cell r="E1361">
            <v>10.018000000000001</v>
          </cell>
          <cell r="G1361">
            <v>0</v>
          </cell>
        </row>
        <row r="1362">
          <cell r="A1362" t="str">
            <v>37-1002106-350</v>
          </cell>
          <cell r="B1362" t="str">
            <v>Cable Assy, Singleflex, 1mm2, Bootlace-Fork, Red</v>
          </cell>
          <cell r="E1362">
            <v>0</v>
          </cell>
          <cell r="G1362">
            <v>0</v>
          </cell>
        </row>
        <row r="1363">
          <cell r="A1363" t="str">
            <v>37-1002107-350</v>
          </cell>
          <cell r="B1363" t="str">
            <v>Cable Assy, Singleflex, 1mm2, Bootlace-Fork, Black</v>
          </cell>
          <cell r="E1363">
            <v>0</v>
          </cell>
          <cell r="G1363">
            <v>0</v>
          </cell>
        </row>
        <row r="1364">
          <cell r="A1364" t="str">
            <v>37-1002107-400</v>
          </cell>
          <cell r="B1364" t="str">
            <v>Cable Assy, Singleflex, 1mm2, Bootlace-Fork, Black</v>
          </cell>
          <cell r="E1364">
            <v>0</v>
          </cell>
          <cell r="G1364">
            <v>0</v>
          </cell>
        </row>
        <row r="1365">
          <cell r="A1365" t="str">
            <v>37-1002115-400</v>
          </cell>
          <cell r="B1365" t="str">
            <v>Cable Assy, Singleflex, 1mm², Bootlace-Fork, White</v>
          </cell>
          <cell r="E1365">
            <v>0</v>
          </cell>
          <cell r="G1365">
            <v>0</v>
          </cell>
        </row>
        <row r="1366">
          <cell r="A1366" t="str">
            <v>37-1002116-250</v>
          </cell>
          <cell r="B1366" t="str">
            <v>Cable Assy, Singleflex, 1mm, Bootlace-Fork, Earth</v>
          </cell>
          <cell r="E1366">
            <v>0</v>
          </cell>
          <cell r="G1366">
            <v>0</v>
          </cell>
        </row>
        <row r="1367">
          <cell r="A1367" t="str">
            <v>37-2000021</v>
          </cell>
          <cell r="B1367" t="str">
            <v>CABLE ASSY, SMA(F) PANEL MOUNT - MHF3 (W,FL), 100MM LONG</v>
          </cell>
          <cell r="E1367">
            <v>27.26418</v>
          </cell>
          <cell r="G1367">
            <v>1025</v>
          </cell>
        </row>
        <row r="1368">
          <cell r="A1368" t="str">
            <v>37-2000351-01</v>
          </cell>
          <cell r="B1368" t="str">
            <v>CABLE ASSY, SINGLEFLEX, 6MM2, RING-RING, EARTH</v>
          </cell>
          <cell r="E1368">
            <v>0</v>
          </cell>
          <cell r="G1368">
            <v>0</v>
          </cell>
        </row>
        <row r="1369">
          <cell r="A1369" t="str">
            <v>37-2000375-01</v>
          </cell>
          <cell r="B1369" t="str">
            <v>CABLE ASSY, CAT5E, 4PAIR, RJ45, 400MM</v>
          </cell>
          <cell r="E1369">
            <v>0</v>
          </cell>
          <cell r="G1369">
            <v>0</v>
          </cell>
        </row>
        <row r="1370">
          <cell r="A1370" t="str">
            <v>37-2000415-150</v>
          </cell>
          <cell r="B1370" t="str">
            <v>Cable Assy, MC4 - 3FER</v>
          </cell>
          <cell r="E1370">
            <v>0</v>
          </cell>
          <cell r="G1370">
            <v>0</v>
          </cell>
        </row>
        <row r="1371">
          <cell r="A1371" t="str">
            <v>37-2000487</v>
          </cell>
          <cell r="B1371" t="str">
            <v>CABLE ASSY, FIG8-2PIN PLUG, 1.5M, BLACK</v>
          </cell>
          <cell r="E1371">
            <v>19.5</v>
          </cell>
          <cell r="G1371">
            <v>0</v>
          </cell>
        </row>
        <row r="1372">
          <cell r="A1372" t="str">
            <v>37-2000564</v>
          </cell>
          <cell r="B1372" t="str">
            <v>CABLE ASSY, CAT5E, 4PAIR, RJ45, 1000MM</v>
          </cell>
          <cell r="E1372">
            <v>0</v>
          </cell>
          <cell r="G1372">
            <v>0</v>
          </cell>
        </row>
        <row r="1373">
          <cell r="A1373" t="str">
            <v>37-2000686</v>
          </cell>
          <cell r="B1373" t="str">
            <v>Cable Assy, 4pin, M, 0.14-0.25mm², 900mm</v>
          </cell>
          <cell r="E1373">
            <v>15.483230000000001</v>
          </cell>
          <cell r="G1373">
            <v>905</v>
          </cell>
        </row>
        <row r="1374">
          <cell r="A1374" t="str">
            <v>37-2000725</v>
          </cell>
          <cell r="B1374" t="str">
            <v>Cable Assy, Cat5e, RJ45-RJ45, 220mm</v>
          </cell>
          <cell r="E1374">
            <v>0</v>
          </cell>
          <cell r="G1374">
            <v>0</v>
          </cell>
        </row>
        <row r="1375">
          <cell r="A1375" t="str">
            <v>37-2000726</v>
          </cell>
          <cell r="B1375" t="str">
            <v>CABLE ASSY, CAT5E, RJ45-RJ45, 220MM</v>
          </cell>
          <cell r="E1375">
            <v>13.04</v>
          </cell>
          <cell r="G1375">
            <v>1094</v>
          </cell>
        </row>
        <row r="1376">
          <cell r="A1376" t="str">
            <v>37-2000727</v>
          </cell>
          <cell r="B1376" t="str">
            <v>CABLE ASSY, CAT5E, RJ45-RJ45, 1000MM</v>
          </cell>
          <cell r="E1376">
            <v>18.364239999999999</v>
          </cell>
          <cell r="G1376">
            <v>1349</v>
          </cell>
        </row>
        <row r="1377">
          <cell r="A1377" t="str">
            <v>37-2000733</v>
          </cell>
          <cell r="B1377" t="str">
            <v>CABLE ASSY, CAT5E, RJ45-RJ45, 500MM</v>
          </cell>
          <cell r="E1377">
            <v>14.59224</v>
          </cell>
          <cell r="G1377">
            <v>1816</v>
          </cell>
        </row>
        <row r="1378">
          <cell r="A1378" t="str">
            <v>37-2000740</v>
          </cell>
          <cell r="B1378" t="str">
            <v>CABLE ASSY, CAT5E, RJ45-RJ45, 2000MM</v>
          </cell>
          <cell r="E1378">
            <v>30.962060000000001</v>
          </cell>
          <cell r="G1378">
            <v>847</v>
          </cell>
        </row>
        <row r="1379">
          <cell r="A1379" t="str">
            <v>37-2000745</v>
          </cell>
          <cell r="B1379" t="str">
            <v>CABLE ASSY, KETTLE LEAD, 10A, 3-POINT-C14</v>
          </cell>
          <cell r="E1379">
            <v>40.544759999999997</v>
          </cell>
          <cell r="G1379">
            <v>2991</v>
          </cell>
        </row>
        <row r="1380">
          <cell r="A1380" t="str">
            <v>37-2000845</v>
          </cell>
          <cell r="B1380" t="str">
            <v>CABLE ASSY, P=1.50MM, CLIK-MATE (1X6)-TO-CLIK-MATE(1X6), L=300.00MM</v>
          </cell>
          <cell r="E1380">
            <v>77.349999999999994</v>
          </cell>
          <cell r="G1380">
            <v>0</v>
          </cell>
        </row>
        <row r="1381">
          <cell r="A1381" t="str">
            <v>37-2001104</v>
          </cell>
          <cell r="B1381" t="str">
            <v>CABLE ASSY, 0.2MM2, MCTAMP-RESET-ROT</v>
          </cell>
          <cell r="E1381">
            <v>137</v>
          </cell>
          <cell r="G1381">
            <v>0</v>
          </cell>
        </row>
        <row r="1382">
          <cell r="A1382" t="str">
            <v>37-2001119</v>
          </cell>
          <cell r="B1382" t="str">
            <v>Cable Assy, FFC, 50 Position, p=0.50mm, l=76.20</v>
          </cell>
          <cell r="E1382">
            <v>39.69744</v>
          </cell>
          <cell r="G1382">
            <v>2378</v>
          </cell>
        </row>
        <row r="1383">
          <cell r="A1383" t="str">
            <v>37-2001202</v>
          </cell>
          <cell r="B1383" t="str">
            <v>Cable Assy, Cat5e, RJ45-RJ45, 3000mm</v>
          </cell>
          <cell r="E1383">
            <v>41.74</v>
          </cell>
          <cell r="G1383">
            <v>79</v>
          </cell>
        </row>
        <row r="1384">
          <cell r="A1384" t="str">
            <v>37-2001502</v>
          </cell>
          <cell r="B1384" t="str">
            <v>Cable Assy, Cat5e, RJ45-RJ45, 5000mm</v>
          </cell>
          <cell r="E1384">
            <v>73.859750000000005</v>
          </cell>
          <cell r="G1384">
            <v>101</v>
          </cell>
        </row>
        <row r="1385">
          <cell r="A1385" t="str">
            <v>37-2001628</v>
          </cell>
          <cell r="B1385" t="str">
            <v>Cable Assembly, RF, SMA Plug, , SMA Jack, 300mm</v>
          </cell>
          <cell r="E1385">
            <v>123.16667</v>
          </cell>
          <cell r="G1385">
            <v>12</v>
          </cell>
        </row>
        <row r="1386">
          <cell r="A1386" t="str">
            <v>37-2001628-350</v>
          </cell>
          <cell r="B1386" t="str">
            <v>Cable Assembly, SMA Extension, M-F, 200mm</v>
          </cell>
          <cell r="E1386">
            <v>50</v>
          </cell>
          <cell r="G1386">
            <v>0</v>
          </cell>
        </row>
        <row r="1387">
          <cell r="A1387" t="str">
            <v>37-2001655</v>
          </cell>
          <cell r="B1387" t="str">
            <v>Power Cord, AS3112 to Iec320 C13. 1.8m</v>
          </cell>
          <cell r="E1387">
            <v>145.33000000000001</v>
          </cell>
          <cell r="G1387">
            <v>12</v>
          </cell>
        </row>
        <row r="1388">
          <cell r="A1388" t="str">
            <v>37-2001703</v>
          </cell>
          <cell r="B1388" t="str">
            <v>Cable Assy, E4 Controller Loom</v>
          </cell>
          <cell r="E1388">
            <v>90.202669999999998</v>
          </cell>
          <cell r="G1388">
            <v>0</v>
          </cell>
        </row>
        <row r="1389">
          <cell r="A1389" t="str">
            <v>38-1000258</v>
          </cell>
          <cell r="B1389" t="str">
            <v>PCB, MC_BASE</v>
          </cell>
          <cell r="E1389">
            <v>54.929360000000003</v>
          </cell>
          <cell r="G1389">
            <v>0</v>
          </cell>
        </row>
        <row r="1390">
          <cell r="A1390" t="str">
            <v>38-1000258-1061807-R</v>
          </cell>
          <cell r="B1390" t="str">
            <v>PCB, MC_BASE</v>
          </cell>
          <cell r="E1390">
            <v>0</v>
          </cell>
          <cell r="G1390">
            <v>0</v>
          </cell>
        </row>
        <row r="1391">
          <cell r="A1391" t="str">
            <v>38-1000258-1061808-R</v>
          </cell>
          <cell r="B1391" t="str">
            <v>PCB M_BASE</v>
          </cell>
          <cell r="E1391">
            <v>0</v>
          </cell>
          <cell r="G1391">
            <v>0</v>
          </cell>
        </row>
        <row r="1392">
          <cell r="A1392" t="str">
            <v>38-1000259</v>
          </cell>
          <cell r="B1392" t="str">
            <v>PCB, MC ESP</v>
          </cell>
          <cell r="E1392">
            <v>56.839449999999999</v>
          </cell>
          <cell r="G1392">
            <v>202</v>
          </cell>
        </row>
        <row r="1393">
          <cell r="A1393" t="str">
            <v>38-1000259-1061809-R</v>
          </cell>
          <cell r="B1393" t="str">
            <v>PCB, MC ESP</v>
          </cell>
          <cell r="E1393">
            <v>0</v>
          </cell>
          <cell r="G1393">
            <v>0</v>
          </cell>
        </row>
        <row r="1394">
          <cell r="A1394" t="str">
            <v>38-1000259-1061810-R</v>
          </cell>
          <cell r="B1394" t="str">
            <v>PCB MIC ESP</v>
          </cell>
          <cell r="E1394">
            <v>0</v>
          </cell>
          <cell r="G1394">
            <v>0</v>
          </cell>
        </row>
        <row r="1395">
          <cell r="A1395" t="str">
            <v>38-1000261</v>
          </cell>
          <cell r="B1395" t="str">
            <v>PCB, MC_LTE</v>
          </cell>
          <cell r="E1395">
            <v>72.298180000000002</v>
          </cell>
          <cell r="G1395">
            <v>870</v>
          </cell>
        </row>
        <row r="1396">
          <cell r="A1396" t="str">
            <v>38-1000530</v>
          </cell>
          <cell r="B1396" t="str">
            <v>PCB, DC FAN CONTROLLER</v>
          </cell>
          <cell r="E1396">
            <v>7.6734499999999999</v>
          </cell>
          <cell r="G1396">
            <v>3480</v>
          </cell>
        </row>
        <row r="1397">
          <cell r="A1397" t="str">
            <v>38-1000541</v>
          </cell>
          <cell r="B1397" t="str">
            <v>PCB, AC BYPASS</v>
          </cell>
          <cell r="E1397">
            <v>18.649999999999999</v>
          </cell>
          <cell r="G1397">
            <v>0</v>
          </cell>
        </row>
        <row r="1398">
          <cell r="A1398" t="str">
            <v>38-1000681</v>
          </cell>
          <cell r="B1398" t="str">
            <v>INTERIM CONTROLLER, PCB</v>
          </cell>
          <cell r="E1398">
            <v>48.29806</v>
          </cell>
          <cell r="G1398">
            <v>1512</v>
          </cell>
        </row>
        <row r="1399">
          <cell r="A1399" t="str">
            <v>38-1000980</v>
          </cell>
          <cell r="B1399" t="str">
            <v>PCB, POWER BUTTON</v>
          </cell>
          <cell r="E1399">
            <v>0</v>
          </cell>
          <cell r="G1399">
            <v>0</v>
          </cell>
        </row>
        <row r="1400">
          <cell r="A1400" t="str">
            <v>39-1001623</v>
          </cell>
          <cell r="B1400" t="str">
            <v>Wifi Router, Mikrotik, 300Mbps, 4 Port, Programmed</v>
          </cell>
          <cell r="E1400">
            <v>478.67</v>
          </cell>
          <cell r="G1400">
            <v>0</v>
          </cell>
        </row>
        <row r="1401">
          <cell r="A1401" t="str">
            <v>39-2000178</v>
          </cell>
          <cell r="B1401" t="str">
            <v>ANTENNA</v>
          </cell>
          <cell r="E1401">
            <v>118.88357999999999</v>
          </cell>
          <cell r="G1401">
            <v>229</v>
          </cell>
        </row>
        <row r="1402">
          <cell r="A1402" t="str">
            <v>39-2000181</v>
          </cell>
          <cell r="B1402" t="str">
            <v>E4 CONTROLLER</v>
          </cell>
          <cell r="E1402">
            <v>1813.49145</v>
          </cell>
          <cell r="G1402">
            <v>201</v>
          </cell>
        </row>
        <row r="1403">
          <cell r="A1403" t="str">
            <v>39-2000192</v>
          </cell>
          <cell r="B1403" t="str">
            <v>INVERTER, RIIO, 2KVA, 24V</v>
          </cell>
          <cell r="E1403">
            <v>4180.2935600000001</v>
          </cell>
          <cell r="G1403">
            <v>2442</v>
          </cell>
        </row>
        <row r="1404">
          <cell r="A1404" t="str">
            <v>39-2000362</v>
          </cell>
          <cell r="B1404" t="str">
            <v>SOFAR 6KTLM-G3</v>
          </cell>
          <cell r="E1404">
            <v>8801.2071400000004</v>
          </cell>
          <cell r="G1404">
            <v>18</v>
          </cell>
        </row>
        <row r="1405">
          <cell r="A1405" t="str">
            <v>39-2000391</v>
          </cell>
          <cell r="B1405" t="str">
            <v>INVERTER, APOLLO MATRIX, 5KVA, 48V</v>
          </cell>
          <cell r="E1405">
            <v>16515.994729999999</v>
          </cell>
          <cell r="G1405">
            <v>985</v>
          </cell>
        </row>
        <row r="1406">
          <cell r="A1406" t="str">
            <v>39-2000392</v>
          </cell>
          <cell r="B1406" t="str">
            <v>INVERTER, SOAFR 6KTLM-G3</v>
          </cell>
          <cell r="E1406">
            <v>0</v>
          </cell>
          <cell r="G1406">
            <v>0</v>
          </cell>
        </row>
        <row r="1407">
          <cell r="A1407" t="str">
            <v>39-2000401</v>
          </cell>
          <cell r="B1407" t="str">
            <v>DB BLANKS, 0.5 MOD, BLACK</v>
          </cell>
          <cell r="E1407">
            <v>1.5648200000000001</v>
          </cell>
          <cell r="G1407">
            <v>43</v>
          </cell>
        </row>
        <row r="1408">
          <cell r="A1408" t="str">
            <v>39-2000402</v>
          </cell>
          <cell r="B1408" t="str">
            <v>DB BLANKS, 1.0 MOD, BLACK</v>
          </cell>
          <cell r="E1408">
            <v>1.4644900000000001</v>
          </cell>
          <cell r="G1408">
            <v>1547</v>
          </cell>
        </row>
        <row r="1409">
          <cell r="A1409" t="str">
            <v>39-2000436</v>
          </cell>
          <cell r="B1409" t="str">
            <v>DB Blanks, 1 Mod, White</v>
          </cell>
          <cell r="E1409">
            <v>1.58463</v>
          </cell>
          <cell r="G1409">
            <v>36</v>
          </cell>
        </row>
        <row r="1410">
          <cell r="A1410" t="str">
            <v>39-2000436-XXX</v>
          </cell>
          <cell r="B1410" t="str">
            <v>DB Blanks, 1 Mod, White</v>
          </cell>
          <cell r="E1410">
            <v>1.56</v>
          </cell>
          <cell r="G1410">
            <v>36</v>
          </cell>
        </row>
        <row r="1411">
          <cell r="A1411" t="str">
            <v>39-2000438</v>
          </cell>
          <cell r="B1411" t="str">
            <v>CABLE TIE, 2.5X100, BLACK</v>
          </cell>
          <cell r="E1411">
            <v>0.13396</v>
          </cell>
          <cell r="G1411">
            <v>40825</v>
          </cell>
        </row>
        <row r="1412">
          <cell r="A1412" t="str">
            <v>39-2000498</v>
          </cell>
          <cell r="B1412" t="str">
            <v>CHARGER, 20A, DC</v>
          </cell>
          <cell r="E1412">
            <v>450.82799999999997</v>
          </cell>
          <cell r="G1412">
            <v>3969</v>
          </cell>
        </row>
        <row r="1413">
          <cell r="A1413" t="str">
            <v>39-2000499</v>
          </cell>
          <cell r="B1413" t="str">
            <v>INVERTER , 500W, 12V</v>
          </cell>
          <cell r="E1413">
            <v>676.71457999999996</v>
          </cell>
          <cell r="G1413">
            <v>2987</v>
          </cell>
        </row>
        <row r="1414">
          <cell r="A1414" t="str">
            <v>39-2000532</v>
          </cell>
          <cell r="B1414" t="str">
            <v>THERMISTOR NTC 10KOHM 3380K BEAD</v>
          </cell>
          <cell r="E1414">
            <v>13.47</v>
          </cell>
          <cell r="G1414">
            <v>0</v>
          </cell>
        </row>
        <row r="1415">
          <cell r="A1415" t="str">
            <v>39-2000536</v>
          </cell>
          <cell r="B1415" t="str">
            <v>AMPLIFIER 2 CIRCUIT RAIL-TO-RAIL 8-SOIC</v>
          </cell>
          <cell r="E1415">
            <v>12.023999999999999</v>
          </cell>
          <cell r="G1415">
            <v>0</v>
          </cell>
        </row>
        <row r="1416">
          <cell r="A1416" t="str">
            <v>39-2000540</v>
          </cell>
          <cell r="B1416" t="str">
            <v>DOUBLE SIDED TAPE</v>
          </cell>
          <cell r="E1416">
            <v>0.99985999999999997</v>
          </cell>
          <cell r="G1416">
            <v>145</v>
          </cell>
        </row>
        <row r="1417">
          <cell r="A1417" t="str">
            <v>39-2000557</v>
          </cell>
          <cell r="B1417" t="str">
            <v>AMPLIFIER, 3-32V, 8-PIN SOIC</v>
          </cell>
          <cell r="E1417">
            <v>1.84</v>
          </cell>
          <cell r="G1417">
            <v>0</v>
          </cell>
        </row>
        <row r="1418">
          <cell r="A1418" t="str">
            <v>39-2000571</v>
          </cell>
          <cell r="B1418" t="str">
            <v xml:space="preserve">POWITT SOLAR PANEL 550W MONO </v>
          </cell>
          <cell r="E1418">
            <v>2652.9263900000001</v>
          </cell>
          <cell r="G1418">
            <v>252</v>
          </cell>
        </row>
        <row r="1419">
          <cell r="A1419" t="str">
            <v>39-2000571-02</v>
          </cell>
          <cell r="B1419" t="str">
            <v>POWITT SOLAR PANEL 460W MONO (Black)</v>
          </cell>
          <cell r="E1419">
            <v>2709.42</v>
          </cell>
          <cell r="G1419">
            <v>0</v>
          </cell>
        </row>
        <row r="1420">
          <cell r="A1420" t="str">
            <v>39-2000571-SER</v>
          </cell>
          <cell r="B1420" t="str">
            <v xml:space="preserve">SERAPHIM SOLAR PANEL 550W MONO </v>
          </cell>
          <cell r="E1420">
            <v>2429.9158200000002</v>
          </cell>
          <cell r="G1420">
            <v>3884</v>
          </cell>
        </row>
        <row r="1421">
          <cell r="A1421" t="str">
            <v>39-2000583</v>
          </cell>
          <cell r="B1421" t="str">
            <v>Earth rod, 1,2m long, 14,3mm Dia, Copper electroplated steel, Threaded</v>
          </cell>
          <cell r="E1421">
            <v>109.59779</v>
          </cell>
          <cell r="G1421">
            <v>694</v>
          </cell>
        </row>
        <row r="1422">
          <cell r="A1422" t="str">
            <v>39-2000584</v>
          </cell>
          <cell r="B1422" t="str">
            <v>EARTH ROD CABLE CLAMP BRASS</v>
          </cell>
          <cell r="E1422">
            <v>16.934449999999998</v>
          </cell>
          <cell r="G1422">
            <v>815</v>
          </cell>
        </row>
        <row r="1423">
          <cell r="A1423" t="str">
            <v>39-2000603</v>
          </cell>
          <cell r="B1423" t="str">
            <v>DB, surface mount, 1x18, parent door, light grey</v>
          </cell>
          <cell r="E1423">
            <v>0</v>
          </cell>
          <cell r="G1423">
            <v>0</v>
          </cell>
        </row>
        <row r="1424">
          <cell r="A1424" t="str">
            <v>39-2000605</v>
          </cell>
          <cell r="B1424" t="str">
            <v>ISOLATOR, ENCLOSED, 63A, 22KW, 3P</v>
          </cell>
          <cell r="E1424">
            <v>529.16314</v>
          </cell>
          <cell r="G1424">
            <v>6</v>
          </cell>
        </row>
        <row r="1425">
          <cell r="A1425" t="str">
            <v>39-2000609</v>
          </cell>
          <cell r="B1425" t="str">
            <v>PV EARTHING LUG, RAIL MOUNT, SS</v>
          </cell>
          <cell r="E1425">
            <v>6.7533899999999996</v>
          </cell>
          <cell r="G1425">
            <v>3986</v>
          </cell>
        </row>
        <row r="1426">
          <cell r="A1426" t="str">
            <v>39-2000621</v>
          </cell>
          <cell r="B1426" t="str">
            <v>DB, SURFACE MOUNT, 1X8, PARENT DOOR, LIGHT GREY</v>
          </cell>
          <cell r="E1426">
            <v>207.9</v>
          </cell>
          <cell r="G1426">
            <v>1126</v>
          </cell>
        </row>
        <row r="1427">
          <cell r="A1427" t="str">
            <v>39-2000671</v>
          </cell>
          <cell r="B1427" t="str">
            <v>POWER METER, SINGLE PHASE, DSU666, 220V, 80A</v>
          </cell>
          <cell r="E1427">
            <v>985</v>
          </cell>
          <cell r="G1427">
            <v>15</v>
          </cell>
        </row>
        <row r="1428">
          <cell r="A1428" t="str">
            <v>39-2000676</v>
          </cell>
          <cell r="B1428" t="str">
            <v>ISOLATOR DC, PANEL MOUNT, 32A, 4P</v>
          </cell>
          <cell r="E1428">
            <v>353.6</v>
          </cell>
          <cell r="G1428">
            <v>20</v>
          </cell>
        </row>
        <row r="1429">
          <cell r="A1429" t="str">
            <v>39-2000696</v>
          </cell>
          <cell r="B1429" t="str">
            <v>Cabinet, Inverter, TBB, Qoma33H-R 33KVA</v>
          </cell>
          <cell r="E1429">
            <v>79376.570000000007</v>
          </cell>
          <cell r="G1429">
            <v>0</v>
          </cell>
        </row>
        <row r="1430">
          <cell r="A1430" t="str">
            <v>39-2000707</v>
          </cell>
          <cell r="B1430" t="str">
            <v>TIGO ACCESS POINT (TAP), WIRELESS MESH, 25V</v>
          </cell>
          <cell r="E1430">
            <v>603.62896000000001</v>
          </cell>
          <cell r="G1430">
            <v>308</v>
          </cell>
        </row>
        <row r="1431">
          <cell r="A1431" t="str">
            <v>39-2000708</v>
          </cell>
          <cell r="B1431" t="str">
            <v>TIGO OPTIMIZER, 90V, 500W, 12A</v>
          </cell>
          <cell r="E1431">
            <v>571.92848000000004</v>
          </cell>
          <cell r="G1431">
            <v>4578</v>
          </cell>
        </row>
        <row r="1432">
          <cell r="A1432" t="str">
            <v>39-2000709</v>
          </cell>
          <cell r="B1432" t="str">
            <v>TIGO CLOUD CONNECT ADVANCED KIT</v>
          </cell>
          <cell r="E1432">
            <v>2449.2707799999998</v>
          </cell>
          <cell r="G1432">
            <v>308</v>
          </cell>
        </row>
        <row r="1433">
          <cell r="A1433" t="str">
            <v>39-2000728</v>
          </cell>
          <cell r="B1433" t="str">
            <v xml:space="preserve">ADAPTOR, RJ45, 2-1 </v>
          </cell>
          <cell r="E1433">
            <v>18.899999999999999</v>
          </cell>
          <cell r="G1433">
            <v>553</v>
          </cell>
        </row>
        <row r="1434">
          <cell r="A1434" t="str">
            <v>39-2000855</v>
          </cell>
          <cell r="B1434" t="str">
            <v>DB, Surface Mount, 1x12, w Door, Light Grey</v>
          </cell>
          <cell r="E1434">
            <v>317.12092999999999</v>
          </cell>
          <cell r="G1434">
            <v>83</v>
          </cell>
        </row>
        <row r="1435">
          <cell r="A1435" t="str">
            <v>39-2000858</v>
          </cell>
          <cell r="B1435" t="str">
            <v>INVERTER, RIIO SUN, 3KVA-S, 230VACM 48VDC</v>
          </cell>
          <cell r="E1435">
            <v>6151.8386799999998</v>
          </cell>
          <cell r="G1435">
            <v>93</v>
          </cell>
        </row>
        <row r="1436">
          <cell r="A1436" t="str">
            <v>39-2000859</v>
          </cell>
          <cell r="B1436" t="str">
            <v>INVERTER, RIIO SUN, 6KVA-S, 230VAC, 48VDC</v>
          </cell>
          <cell r="E1436">
            <v>11351.48</v>
          </cell>
          <cell r="G1436">
            <v>48</v>
          </cell>
        </row>
        <row r="1437">
          <cell r="A1437" t="str">
            <v>39-2000860</v>
          </cell>
          <cell r="B1437" t="str">
            <v>INVERTER, RIIO, 3KVA-S, 48VDC</v>
          </cell>
          <cell r="E1437">
            <v>0</v>
          </cell>
          <cell r="G1437">
            <v>0</v>
          </cell>
        </row>
        <row r="1438">
          <cell r="A1438" t="str">
            <v>39-2000861</v>
          </cell>
          <cell r="B1438" t="str">
            <v>INVERTER, RIIO, 6KVA-S, 48VDC</v>
          </cell>
          <cell r="E1438">
            <v>0</v>
          </cell>
          <cell r="G1438">
            <v>0</v>
          </cell>
        </row>
        <row r="1439">
          <cell r="A1439" t="str">
            <v>39-2000910</v>
          </cell>
          <cell r="B1439" t="str">
            <v>MONITOR 7 INCH (A7E7)</v>
          </cell>
          <cell r="E1439">
            <v>5064.5056800000002</v>
          </cell>
          <cell r="G1439">
            <v>67</v>
          </cell>
        </row>
        <row r="1440">
          <cell r="A1440" t="str">
            <v>39-2000911</v>
          </cell>
          <cell r="B1440" t="str">
            <v>IG30 - 30 KVA PV INVERTER</v>
          </cell>
          <cell r="E1440">
            <v>25091.85799</v>
          </cell>
          <cell r="G1440">
            <v>213</v>
          </cell>
        </row>
        <row r="1441">
          <cell r="A1441" t="str">
            <v>39-2000912</v>
          </cell>
          <cell r="B1441" t="str">
            <v>QOMA33H-R 33KVA BATTERY INVERTER</v>
          </cell>
          <cell r="E1441">
            <v>79491.871790000005</v>
          </cell>
          <cell r="G1441">
            <v>0</v>
          </cell>
        </row>
        <row r="1442">
          <cell r="A1442" t="str">
            <v>39-2000914</v>
          </cell>
          <cell r="B1442" t="str">
            <v>TBB BCU100 - BATTERY CONTROL UNIT FOR LH75</v>
          </cell>
          <cell r="E1442">
            <v>22217.833330000001</v>
          </cell>
          <cell r="G1442">
            <v>0</v>
          </cell>
        </row>
        <row r="1443">
          <cell r="A1443" t="str">
            <v>39-2000950</v>
          </cell>
          <cell r="B1443" t="str">
            <v>PV PANEL, 550W</v>
          </cell>
          <cell r="E1443">
            <v>0</v>
          </cell>
          <cell r="G1443">
            <v>0</v>
          </cell>
        </row>
        <row r="1444">
          <cell r="A1444" t="str">
            <v>39-2000951</v>
          </cell>
          <cell r="B1444" t="str">
            <v>PV PANEL, 570W</v>
          </cell>
          <cell r="E1444">
            <v>2725.35385</v>
          </cell>
          <cell r="G1444">
            <v>5737</v>
          </cell>
        </row>
        <row r="1445">
          <cell r="A1445" t="str">
            <v>39-2000970</v>
          </cell>
          <cell r="B1445" t="str">
            <v>Battery Control Unit, TBB, BCU100</v>
          </cell>
          <cell r="E1445">
            <v>22191.821820000001</v>
          </cell>
          <cell r="G1445">
            <v>87</v>
          </cell>
        </row>
        <row r="1446">
          <cell r="A1446" t="str">
            <v>39-2000972</v>
          </cell>
          <cell r="B1446" t="str">
            <v>LITHIUM BATTERY 48V 75AH HIGH VOLT LITHIUM .6KWH</v>
          </cell>
          <cell r="E1446">
            <v>18949.611939999999</v>
          </cell>
          <cell r="G1446">
            <v>0</v>
          </cell>
        </row>
        <row r="1447">
          <cell r="A1447" t="str">
            <v>39-2000976</v>
          </cell>
          <cell r="B1447" t="str">
            <v>Inverter, Solis 5G, 30kVA</v>
          </cell>
          <cell r="E1447">
            <v>0</v>
          </cell>
          <cell r="G1447">
            <v>0</v>
          </cell>
        </row>
        <row r="1448">
          <cell r="A1448" t="str">
            <v>39-2001011</v>
          </cell>
          <cell r="B1448" t="str">
            <v>DB Blanks, 0,5 Mod, White</v>
          </cell>
          <cell r="E1448">
            <v>1.3623799999999999</v>
          </cell>
          <cell r="G1448">
            <v>48544</v>
          </cell>
        </row>
        <row r="1449">
          <cell r="A1449" t="str">
            <v>39-2001050</v>
          </cell>
          <cell r="B1449" t="str">
            <v>STRAPPING, PET, 16X0.8MM</v>
          </cell>
          <cell r="E1449">
            <v>0.85468</v>
          </cell>
          <cell r="G1449">
            <v>7700</v>
          </cell>
        </row>
        <row r="1450">
          <cell r="A1450" t="str">
            <v>39-2001050-X</v>
          </cell>
          <cell r="B1450" t="str">
            <v>STRAPPING, PET, 16X0.8MM</v>
          </cell>
          <cell r="E1450">
            <v>720</v>
          </cell>
          <cell r="G1450">
            <v>0</v>
          </cell>
        </row>
        <row r="1451">
          <cell r="A1451" t="str">
            <v>39-2001066</v>
          </cell>
          <cell r="B1451" t="str">
            <v xml:space="preserve">Router, LTE </v>
          </cell>
          <cell r="E1451">
            <v>947.70411999999999</v>
          </cell>
          <cell r="G1451">
            <v>245</v>
          </cell>
        </row>
        <row r="1452">
          <cell r="A1452" t="str">
            <v>39-2001067</v>
          </cell>
          <cell r="B1452" t="str">
            <v xml:space="preserve">Sim Card, LTE </v>
          </cell>
          <cell r="E1452">
            <v>36.4</v>
          </cell>
          <cell r="G1452">
            <v>245</v>
          </cell>
        </row>
        <row r="1453">
          <cell r="A1453" t="str">
            <v>39-2001172</v>
          </cell>
          <cell r="B1453" t="str">
            <v>DB, Surface Mount, 3x18, w Door, Light Grey</v>
          </cell>
          <cell r="E1453">
            <v>684.26696000000004</v>
          </cell>
          <cell r="G1453">
            <v>306</v>
          </cell>
        </row>
        <row r="1454">
          <cell r="A1454" t="str">
            <v>39-2001208</v>
          </cell>
          <cell r="B1454" t="str">
            <v>Battery Charger, Lithium, 25A, 12VDC</v>
          </cell>
          <cell r="E1454">
            <v>931.50941999999998</v>
          </cell>
          <cell r="G1454">
            <v>3074</v>
          </cell>
        </row>
        <row r="1455">
          <cell r="A1455" t="str">
            <v>39-2001288</v>
          </cell>
          <cell r="B1455" t="str">
            <v>Isolator, 80A, 3P</v>
          </cell>
          <cell r="E1455">
            <v>1012.04</v>
          </cell>
          <cell r="G1455">
            <v>0</v>
          </cell>
        </row>
        <row r="1456">
          <cell r="A1456" t="str">
            <v>39-2001296</v>
          </cell>
          <cell r="B1456" t="str">
            <v xml:space="preserve">Battery, TBB, EX5, 48V, 5.04kWh </v>
          </cell>
          <cell r="E1456">
            <v>15313.64083</v>
          </cell>
          <cell r="G1456">
            <v>83</v>
          </cell>
        </row>
        <row r="1457">
          <cell r="A1457" t="str">
            <v>39-2001297</v>
          </cell>
          <cell r="B1457" t="str">
            <v>Battery Control Unit, TBB, BCU-EX5</v>
          </cell>
          <cell r="E1457">
            <v>32176.26296</v>
          </cell>
          <cell r="G1457">
            <v>0</v>
          </cell>
        </row>
        <row r="1458">
          <cell r="A1458" t="str">
            <v>39-2001306</v>
          </cell>
          <cell r="B1458" t="str">
            <v>CT, 200/5, Class 0.5, 5VA, 38mm diameter</v>
          </cell>
          <cell r="E1458">
            <v>488.4</v>
          </cell>
          <cell r="G1458">
            <v>63</v>
          </cell>
        </row>
        <row r="1459">
          <cell r="A1459" t="str">
            <v>39-2001326</v>
          </cell>
          <cell r="B1459" t="str">
            <v>CT, 400/5A, Class0.5, 5VA</v>
          </cell>
          <cell r="E1459">
            <v>0</v>
          </cell>
          <cell r="G1459">
            <v>0</v>
          </cell>
        </row>
        <row r="1460">
          <cell r="A1460" t="str">
            <v>39-2001328</v>
          </cell>
          <cell r="B1460" t="str">
            <v>CT, 600/5A, Class0.5, 7.5VA</v>
          </cell>
          <cell r="E1460">
            <v>287.64999999999998</v>
          </cell>
          <cell r="G1460">
            <v>71</v>
          </cell>
        </row>
        <row r="1461">
          <cell r="A1461" t="str">
            <v>39-2001330</v>
          </cell>
          <cell r="B1461" t="str">
            <v>CT, 800/5A, Class0.5, 5VA</v>
          </cell>
          <cell r="E1461">
            <v>0</v>
          </cell>
          <cell r="G1461">
            <v>0</v>
          </cell>
        </row>
        <row r="1462">
          <cell r="A1462" t="str">
            <v>39-2001338</v>
          </cell>
          <cell r="B1462" t="str">
            <v>Lightning rod, 1.0m long, Dia.14.3mm, Stainless Steel</v>
          </cell>
          <cell r="E1462">
            <v>0</v>
          </cell>
          <cell r="G1462">
            <v>0</v>
          </cell>
        </row>
        <row r="1463">
          <cell r="A1463" t="str">
            <v>39-2001556</v>
          </cell>
          <cell r="B1463" t="str">
            <v>End Cap, Busbar, 2P</v>
          </cell>
          <cell r="E1463">
            <v>18.078990000000001</v>
          </cell>
          <cell r="G1463">
            <v>410</v>
          </cell>
        </row>
        <row r="1464">
          <cell r="A1464" t="str">
            <v>39-2001605</v>
          </cell>
          <cell r="B1464" t="str">
            <v>Isolator, Enclosed, Lockable, 63A, 4P</v>
          </cell>
          <cell r="E1464">
            <v>323.12290000000002</v>
          </cell>
          <cell r="G1464">
            <v>91</v>
          </cell>
        </row>
        <row r="1465">
          <cell r="A1465" t="str">
            <v>39-2001623</v>
          </cell>
          <cell r="B1465" t="str">
            <v>Wifi Router, Mikrotik, 300Mbps, 4 Port</v>
          </cell>
          <cell r="E1465">
            <v>478.26143000000002</v>
          </cell>
          <cell r="G1465">
            <v>7</v>
          </cell>
        </row>
        <row r="1466">
          <cell r="A1466" t="str">
            <v>39-2001626</v>
          </cell>
          <cell r="B1466" t="str">
            <v>Data Range Splitter, RS485, 9-24VDC, 8CH, 8 Ports</v>
          </cell>
          <cell r="E1466">
            <v>1104.3</v>
          </cell>
          <cell r="G1466">
            <v>15</v>
          </cell>
        </row>
        <row r="1467">
          <cell r="A1467" t="str">
            <v>39-2001627</v>
          </cell>
          <cell r="B1467" t="str">
            <v>Modbus Relay Module, Rs485, 8CH, 7-36VDC</v>
          </cell>
          <cell r="E1467">
            <v>0</v>
          </cell>
          <cell r="G1467">
            <v>0</v>
          </cell>
        </row>
        <row r="1468">
          <cell r="A1468" t="str">
            <v>39-2001637</v>
          </cell>
          <cell r="B1468" t="str">
            <v>DB, Surface Mount, 2x12, w Door, Light Grey</v>
          </cell>
          <cell r="E1468">
            <v>451</v>
          </cell>
          <cell r="G1468">
            <v>16</v>
          </cell>
        </row>
        <row r="1469">
          <cell r="A1469" t="str">
            <v>39-2001705</v>
          </cell>
          <cell r="B1469" t="str">
            <v>DB, Surface Mount, 3x18, w Door, Light Grey</v>
          </cell>
          <cell r="E1469">
            <v>1422.84773</v>
          </cell>
          <cell r="G1469">
            <v>12</v>
          </cell>
        </row>
        <row r="1470">
          <cell r="A1470" t="str">
            <v>39-2001723</v>
          </cell>
          <cell r="B1470" t="str">
            <v>Earth Rod, Coupling, Threaded, Copper Plated Brass</v>
          </cell>
          <cell r="E1470">
            <v>65</v>
          </cell>
          <cell r="G1470">
            <v>22</v>
          </cell>
        </row>
        <row r="1471">
          <cell r="A1471" t="str">
            <v>39-2001724</v>
          </cell>
          <cell r="B1471" t="str">
            <v>Earth Rod, Drill Tip, Steel, Threaded</v>
          </cell>
          <cell r="E1471">
            <v>60</v>
          </cell>
          <cell r="G1471">
            <v>22</v>
          </cell>
        </row>
        <row r="1472">
          <cell r="A1472" t="str">
            <v>39-2001725</v>
          </cell>
          <cell r="B1472" t="str">
            <v>Earth Rod, Driving Cap, Steel, Threaded</v>
          </cell>
          <cell r="E1472">
            <v>60</v>
          </cell>
          <cell r="G1472">
            <v>22</v>
          </cell>
        </row>
        <row r="1473">
          <cell r="A1473" t="str">
            <v>39-2001726</v>
          </cell>
          <cell r="B1473" t="str">
            <v>Earth Pod, Inspection Box, Polyurethane</v>
          </cell>
          <cell r="E1473">
            <v>385</v>
          </cell>
          <cell r="G1473">
            <v>22</v>
          </cell>
        </row>
        <row r="1474">
          <cell r="A1474" t="str">
            <v>39-2001727</v>
          </cell>
          <cell r="B1474" t="str">
            <v>Conductive Concrete</v>
          </cell>
          <cell r="E1474">
            <v>420</v>
          </cell>
          <cell r="G1474">
            <v>24</v>
          </cell>
        </row>
        <row r="1475">
          <cell r="A1475" t="str">
            <v>39-2001774</v>
          </cell>
          <cell r="B1475" t="str">
            <v>Cable Joint Kit 35-70mm2 4 Core Cable</v>
          </cell>
          <cell r="E1475">
            <v>301.5</v>
          </cell>
          <cell r="G1475">
            <v>16</v>
          </cell>
        </row>
        <row r="1476">
          <cell r="A1476" t="str">
            <v>39-2001775</v>
          </cell>
          <cell r="B1476" t="str">
            <v>Cable Joint Kit 70-95mm2 4 Core Cable</v>
          </cell>
          <cell r="E1476">
            <v>498.58332999999999</v>
          </cell>
          <cell r="G1476">
            <v>24</v>
          </cell>
        </row>
        <row r="1477">
          <cell r="A1477" t="str">
            <v>39-2001776</v>
          </cell>
          <cell r="B1477" t="str">
            <v>Cable Joint Kit 120-150mm2 4 Core Cable</v>
          </cell>
          <cell r="E1477">
            <v>163</v>
          </cell>
          <cell r="G1477">
            <v>50</v>
          </cell>
        </row>
        <row r="1478">
          <cell r="A1478" t="str">
            <v>39-2001777</v>
          </cell>
          <cell r="B1478" t="str">
            <v>CT, 1250/5A, Class0.5, 15VA</v>
          </cell>
          <cell r="E1478">
            <v>432.85073999999997</v>
          </cell>
          <cell r="G1478">
            <v>54</v>
          </cell>
        </row>
        <row r="1479">
          <cell r="A1479" t="str">
            <v>39-2001783</v>
          </cell>
          <cell r="B1479" t="str">
            <v>Terminal Shrouds, 4P, X160</v>
          </cell>
          <cell r="E1479">
            <v>0</v>
          </cell>
          <cell r="G1479">
            <v>0</v>
          </cell>
        </row>
        <row r="1480">
          <cell r="A1480" t="str">
            <v>39-2001784</v>
          </cell>
          <cell r="B1480" t="str">
            <v>Terminal Shrouds, 4P, X250</v>
          </cell>
          <cell r="E1480">
            <v>0</v>
          </cell>
          <cell r="G1480">
            <v>0</v>
          </cell>
        </row>
        <row r="1481">
          <cell r="A1481" t="str">
            <v>39-2001785</v>
          </cell>
          <cell r="B1481" t="str">
            <v>Terminal Shrouds, 4P, X630</v>
          </cell>
          <cell r="E1481">
            <v>0</v>
          </cell>
          <cell r="G1481">
            <v>0</v>
          </cell>
        </row>
        <row r="1482">
          <cell r="A1482" t="str">
            <v>39-2001786</v>
          </cell>
          <cell r="B1482" t="str">
            <v>Terminal Shrouds, 4P, H800-H1000</v>
          </cell>
          <cell r="E1482">
            <v>0</v>
          </cell>
          <cell r="G1482">
            <v>0</v>
          </cell>
        </row>
        <row r="1483">
          <cell r="A1483" t="str">
            <v>39-2001791</v>
          </cell>
          <cell r="B1483" t="str">
            <v>Lock, 40mm Shackle, Navy Blue, Warning</v>
          </cell>
          <cell r="E1483">
            <v>206.63</v>
          </cell>
          <cell r="G1483">
            <v>22</v>
          </cell>
        </row>
        <row r="1484">
          <cell r="A1484" t="str">
            <v>39-2001795</v>
          </cell>
          <cell r="B1484" t="str">
            <v>Lightning Protection, Push-in Clip, Nail-in Anchor</v>
          </cell>
          <cell r="E1484">
            <v>0</v>
          </cell>
          <cell r="G1484">
            <v>0</v>
          </cell>
        </row>
        <row r="1485">
          <cell r="A1485" t="str">
            <v>39-2001796</v>
          </cell>
          <cell r="B1485" t="str">
            <v>Lightning Protection, Push-In Clip, Adhesive Base</v>
          </cell>
          <cell r="E1485">
            <v>0</v>
          </cell>
          <cell r="G1485">
            <v>0</v>
          </cell>
        </row>
        <row r="1486">
          <cell r="A1486" t="str">
            <v>39-2001797</v>
          </cell>
          <cell r="B1486" t="str">
            <v>Lightning Protection, 8mm Aluminium down conductor</v>
          </cell>
          <cell r="E1486">
            <v>0</v>
          </cell>
          <cell r="G1486">
            <v>0</v>
          </cell>
        </row>
        <row r="1487">
          <cell r="A1487" t="str">
            <v>39-2001798</v>
          </cell>
          <cell r="B1487" t="str">
            <v>Lightning Protection, Line Taps, T/X Connections</v>
          </cell>
          <cell r="E1487">
            <v>0</v>
          </cell>
          <cell r="G1487">
            <v>0</v>
          </cell>
        </row>
        <row r="1488">
          <cell r="A1488" t="str">
            <v>39-2001799</v>
          </cell>
          <cell r="B1488" t="str">
            <v>Lightning Protection, Mounting Bracket, M16, Flat Parapit</v>
          </cell>
          <cell r="E1488">
            <v>0</v>
          </cell>
          <cell r="G1488">
            <v>0</v>
          </cell>
        </row>
        <row r="1489">
          <cell r="A1489" t="str">
            <v>39-2001837</v>
          </cell>
          <cell r="B1489" t="str">
            <v>DB, Surface Mount, 2x18, w Door, Light Grey, IP55</v>
          </cell>
          <cell r="E1489">
            <v>1171.5</v>
          </cell>
          <cell r="G1489">
            <v>3</v>
          </cell>
        </row>
        <row r="1490">
          <cell r="A1490" t="str">
            <v>39-2001876</v>
          </cell>
          <cell r="B1490" t="str">
            <v>Inverter, RiiO Sun II, 6KVA-S, 230 VAC, 48VDC</v>
          </cell>
          <cell r="E1490">
            <v>12784.9941</v>
          </cell>
          <cell r="G1490">
            <v>13</v>
          </cell>
        </row>
        <row r="1491">
          <cell r="A1491" t="str">
            <v>39-2001877</v>
          </cell>
          <cell r="B1491" t="str">
            <v>Inverter, RiiO Sun II, 8KVA-S, 230 VAC, 48VDC</v>
          </cell>
          <cell r="E1491">
            <v>16940.331890000001</v>
          </cell>
          <cell r="G1491">
            <v>14</v>
          </cell>
        </row>
        <row r="1492">
          <cell r="A1492" t="str">
            <v>39-2001879</v>
          </cell>
          <cell r="B1492" t="str">
            <v>Isolator, Enclosed, Lockable, 80A, 2P</v>
          </cell>
          <cell r="E1492">
            <v>965.90632000000005</v>
          </cell>
          <cell r="G1492">
            <v>659</v>
          </cell>
        </row>
        <row r="1493">
          <cell r="A1493" t="str">
            <v>39-2001881</v>
          </cell>
          <cell r="B1493" t="str">
            <v>Inverter, RiiO Sun II, 3KVA-S, 230 VAC, 48VDC</v>
          </cell>
          <cell r="E1493">
            <v>6543.68</v>
          </cell>
          <cell r="G1493">
            <v>150</v>
          </cell>
        </row>
        <row r="1494">
          <cell r="A1494" t="str">
            <v>39-2001893</v>
          </cell>
          <cell r="B1494" t="str">
            <v>EPM, Solis, 5G Plus</v>
          </cell>
          <cell r="E1494">
            <v>9478.6083299999991</v>
          </cell>
          <cell r="G1494">
            <v>6</v>
          </cell>
        </row>
        <row r="1495">
          <cell r="A1495" t="str">
            <v>39-2001895</v>
          </cell>
          <cell r="B1495" t="str">
            <v>Inverter, RiiO Sun II, 5KVA-S, 230 VAC, 48VDC</v>
          </cell>
          <cell r="E1495">
            <v>0</v>
          </cell>
          <cell r="G1495">
            <v>0</v>
          </cell>
        </row>
        <row r="1496">
          <cell r="A1496" t="str">
            <v>39-2001940</v>
          </cell>
          <cell r="B1496" t="str">
            <v>PV Panel, 420W, Monofacial, Black</v>
          </cell>
          <cell r="E1496">
            <v>1176</v>
          </cell>
          <cell r="G1496">
            <v>0</v>
          </cell>
        </row>
        <row r="1497">
          <cell r="A1497" t="str">
            <v>39-2001967</v>
          </cell>
          <cell r="B1497" t="str">
            <v>Antenna, Penta Band, 5dBi, Mag Mount, SMA-M 1.5m fly</v>
          </cell>
          <cell r="E1497">
            <v>0</v>
          </cell>
          <cell r="G1497">
            <v>20</v>
          </cell>
        </row>
        <row r="1498">
          <cell r="A1498" t="str">
            <v>39-2002044</v>
          </cell>
          <cell r="B1498" t="str">
            <v>Cable Tie, 4.8x200, Black</v>
          </cell>
          <cell r="E1498">
            <v>0.41204000000000002</v>
          </cell>
          <cell r="G1498">
            <v>19300</v>
          </cell>
        </row>
        <row r="1499">
          <cell r="A1499" t="str">
            <v>39-2002058</v>
          </cell>
          <cell r="B1499" t="str">
            <v>CT, 400/5A, Class0.5, 5VA</v>
          </cell>
          <cell r="E1499">
            <v>488.4</v>
          </cell>
          <cell r="G1499">
            <v>2</v>
          </cell>
        </row>
        <row r="1500">
          <cell r="A1500" t="str">
            <v>39-2002062</v>
          </cell>
          <cell r="B1500" t="str">
            <v>POE Injector, Single port, 9-48V</v>
          </cell>
          <cell r="E1500">
            <v>31.3</v>
          </cell>
          <cell r="G1500">
            <v>7</v>
          </cell>
        </row>
        <row r="1501">
          <cell r="A1501" t="str">
            <v>39-2002063</v>
          </cell>
          <cell r="B1501" t="str">
            <v>CT, 800/5A, Class0.5, 5VA</v>
          </cell>
          <cell r="E1501">
            <v>488.4</v>
          </cell>
          <cell r="G1501">
            <v>2</v>
          </cell>
        </row>
        <row r="1502">
          <cell r="A1502" t="str">
            <v>4</v>
          </cell>
          <cell r="B1502" t="str">
            <v/>
          </cell>
          <cell r="E1502">
            <v>0</v>
          </cell>
          <cell r="G1502">
            <v>0</v>
          </cell>
        </row>
        <row r="1503">
          <cell r="A1503" t="str">
            <v>405-1000045</v>
          </cell>
          <cell r="B1503" t="str">
            <v>Faraday 10-12K</v>
          </cell>
          <cell r="E1503">
            <v>13928.93629</v>
          </cell>
          <cell r="G1503">
            <v>17</v>
          </cell>
        </row>
        <row r="1504">
          <cell r="A1504" t="str">
            <v>405-1000052</v>
          </cell>
          <cell r="B1504" t="str">
            <v>AKIRA</v>
          </cell>
          <cell r="E1504">
            <v>7830.9922200000001</v>
          </cell>
          <cell r="G1504">
            <v>2</v>
          </cell>
        </row>
        <row r="1505">
          <cell r="A1505" t="str">
            <v>405-1000054</v>
          </cell>
          <cell r="B1505" t="str">
            <v>B48 BATTERY PACK</v>
          </cell>
          <cell r="E1505">
            <v>15785.41243</v>
          </cell>
          <cell r="G1505">
            <v>0</v>
          </cell>
        </row>
        <row r="1506">
          <cell r="A1506" t="str">
            <v>405-1000055</v>
          </cell>
          <cell r="B1506" t="str">
            <v>VOLTA 2K</v>
          </cell>
          <cell r="E1506">
            <v>20129.601149999999</v>
          </cell>
          <cell r="G1506">
            <v>10</v>
          </cell>
        </row>
        <row r="1507">
          <cell r="A1507" t="str">
            <v>405-1000066</v>
          </cell>
          <cell r="B1507" t="str">
            <v>FARADAY 6K</v>
          </cell>
          <cell r="E1507">
            <v>0</v>
          </cell>
          <cell r="G1507">
            <v>0</v>
          </cell>
        </row>
        <row r="1508">
          <cell r="A1508" t="str">
            <v>405-1000486</v>
          </cell>
          <cell r="B1508" t="str">
            <v>VOLTA 500</v>
          </cell>
          <cell r="E1508">
            <v>6665.8768799999998</v>
          </cell>
          <cell r="G1508">
            <v>162</v>
          </cell>
        </row>
        <row r="1509">
          <cell r="A1509" t="str">
            <v>405-1000506</v>
          </cell>
          <cell r="B1509" t="str">
            <v>VOLTA 40</v>
          </cell>
          <cell r="E1509">
            <v>377.28179999999998</v>
          </cell>
          <cell r="G1509">
            <v>4212</v>
          </cell>
        </row>
        <row r="1510">
          <cell r="A1510" t="str">
            <v>405-1000507</v>
          </cell>
          <cell r="B1510" t="str">
            <v>VOLTA 700X</v>
          </cell>
          <cell r="E1510">
            <v>4641.4621800000004</v>
          </cell>
          <cell r="G1510">
            <v>4339</v>
          </cell>
        </row>
        <row r="1511">
          <cell r="A1511" t="str">
            <v>405-1000660</v>
          </cell>
          <cell r="B1511" t="str">
            <v>FARADAY 6K</v>
          </cell>
          <cell r="E1511">
            <v>21089.883860000002</v>
          </cell>
          <cell r="G1511">
            <v>114</v>
          </cell>
        </row>
        <row r="1512">
          <cell r="A1512" t="str">
            <v>405-1000863</v>
          </cell>
          <cell r="B1512" t="str">
            <v>VOLTA 6K</v>
          </cell>
          <cell r="E1512">
            <v>21863.236629999999</v>
          </cell>
          <cell r="G1512">
            <v>345</v>
          </cell>
        </row>
        <row r="1513">
          <cell r="A1513" t="str">
            <v>405-1000863X</v>
          </cell>
          <cell r="B1513" t="str">
            <v>VOLTA 6K [Scrap]</v>
          </cell>
          <cell r="E1513">
            <v>0</v>
          </cell>
          <cell r="G1513">
            <v>0</v>
          </cell>
        </row>
        <row r="1514">
          <cell r="A1514" t="str">
            <v>405-1000882</v>
          </cell>
          <cell r="B1514" t="str">
            <v>EV CHARGER, 7.4KW, 32A, 230V, SINGLE PHASE </v>
          </cell>
          <cell r="E1514">
            <v>6837.5590700000002</v>
          </cell>
          <cell r="G1514">
            <v>73</v>
          </cell>
        </row>
        <row r="1515">
          <cell r="A1515" t="str">
            <v>405-1000883</v>
          </cell>
          <cell r="B1515" t="str">
            <v>EV CHARGER, 4.1-22KW, 32A, 400V, THREE PHASE</v>
          </cell>
          <cell r="E1515">
            <v>7590.5931200000005</v>
          </cell>
          <cell r="G1515">
            <v>133</v>
          </cell>
        </row>
        <row r="1516">
          <cell r="A1516" t="str">
            <v>405-1000942</v>
          </cell>
          <cell r="B1516" t="str">
            <v>Galvani, Horizontal</v>
          </cell>
          <cell r="E1516">
            <v>11908.33424</v>
          </cell>
          <cell r="G1516">
            <v>51</v>
          </cell>
        </row>
        <row r="1517">
          <cell r="A1517" t="str">
            <v>405-1000943</v>
          </cell>
          <cell r="B1517" t="str">
            <v>Galvani, Vertical</v>
          </cell>
          <cell r="E1517">
            <v>15354.68483</v>
          </cell>
          <cell r="G1517">
            <v>31</v>
          </cell>
        </row>
        <row r="1518">
          <cell r="A1518" t="str">
            <v>405-1001000</v>
          </cell>
          <cell r="B1518" t="str">
            <v>VOLTA 3K</v>
          </cell>
          <cell r="E1518">
            <v>18198.304950000002</v>
          </cell>
          <cell r="G1518">
            <v>363</v>
          </cell>
        </row>
        <row r="1519">
          <cell r="A1519" t="str">
            <v>405-1001160</v>
          </cell>
          <cell r="B1519" t="str">
            <v>Genoa 5K</v>
          </cell>
          <cell r="E1519">
            <v>32001.899819999999</v>
          </cell>
          <cell r="G1519">
            <v>22</v>
          </cell>
        </row>
        <row r="1520">
          <cell r="A1520" t="str">
            <v>405-1001185</v>
          </cell>
          <cell r="B1520" t="str">
            <v>Faraday 15K</v>
          </cell>
          <cell r="E1520">
            <v>22555.567500000001</v>
          </cell>
          <cell r="G1520">
            <v>3</v>
          </cell>
        </row>
        <row r="1521">
          <cell r="A1521" t="str">
            <v>405-1001204</v>
          </cell>
          <cell r="B1521" t="str">
            <v>Faraday 15KT</v>
          </cell>
          <cell r="E1521">
            <v>24165.727780000001</v>
          </cell>
          <cell r="G1521">
            <v>3</v>
          </cell>
        </row>
        <row r="1522">
          <cell r="A1522" t="str">
            <v>405-1001269</v>
          </cell>
          <cell r="B1522" t="str">
            <v>Gramme 33K AIO</v>
          </cell>
          <cell r="E1522">
            <v>167301.04999999999</v>
          </cell>
          <cell r="G1522">
            <v>0</v>
          </cell>
        </row>
        <row r="1523">
          <cell r="A1523" t="str">
            <v>405-1001271</v>
          </cell>
          <cell r="B1523" t="str">
            <v>Gramme 33K Q1</v>
          </cell>
          <cell r="E1523">
            <v>0</v>
          </cell>
          <cell r="G1523">
            <v>0</v>
          </cell>
        </row>
        <row r="1524">
          <cell r="A1524" t="str">
            <v>405-1001273</v>
          </cell>
          <cell r="B1524" t="str">
            <v>Gramme 33K Qn</v>
          </cell>
          <cell r="E1524">
            <v>0</v>
          </cell>
          <cell r="G1524">
            <v>0</v>
          </cell>
        </row>
        <row r="1525">
          <cell r="A1525" t="str">
            <v>405-1001489</v>
          </cell>
          <cell r="B1525" t="str">
            <v>B48 BATTERY PACK, STRAPPED</v>
          </cell>
          <cell r="E1525">
            <v>15162.869919999999</v>
          </cell>
          <cell r="G1525">
            <v>16</v>
          </cell>
        </row>
        <row r="1526">
          <cell r="A1526" t="str">
            <v>405-1001582</v>
          </cell>
          <cell r="B1526" t="str">
            <v>VOX, UPS, 500W</v>
          </cell>
          <cell r="E1526">
            <v>22.047799999999999</v>
          </cell>
          <cell r="G1526">
            <v>0</v>
          </cell>
        </row>
        <row r="1527">
          <cell r="A1527" t="str">
            <v>405-1001583</v>
          </cell>
          <cell r="B1527" t="str">
            <v>VOX, UPS, Small, Fibre</v>
          </cell>
          <cell r="E1527">
            <v>1.3863799999999999</v>
          </cell>
          <cell r="G1527">
            <v>0</v>
          </cell>
        </row>
        <row r="1528">
          <cell r="A1528" t="str">
            <v>405-1001584</v>
          </cell>
          <cell r="B1528" t="str">
            <v>VOX, UPS, 300W</v>
          </cell>
          <cell r="E1528">
            <v>0</v>
          </cell>
          <cell r="G1528">
            <v>0</v>
          </cell>
        </row>
        <row r="1529">
          <cell r="A1529" t="str">
            <v>405-1001585</v>
          </cell>
          <cell r="B1529" t="str">
            <v>VOX, UPS, Small</v>
          </cell>
          <cell r="E1529">
            <v>0</v>
          </cell>
          <cell r="G1529">
            <v>0</v>
          </cell>
        </row>
        <row r="1530">
          <cell r="A1530" t="str">
            <v>405-1001897</v>
          </cell>
          <cell r="B1530" t="str">
            <v>Genoa 3KG2</v>
          </cell>
          <cell r="E1530">
            <v>0</v>
          </cell>
          <cell r="G1530">
            <v>0</v>
          </cell>
        </row>
        <row r="1531">
          <cell r="A1531" t="str">
            <v>405-1001898</v>
          </cell>
          <cell r="B1531" t="str">
            <v>Genoa 5KG2</v>
          </cell>
          <cell r="E1531">
            <v>0</v>
          </cell>
          <cell r="G1531">
            <v>0</v>
          </cell>
        </row>
        <row r="1532">
          <cell r="A1532" t="str">
            <v>405-1001899</v>
          </cell>
          <cell r="B1532" t="str">
            <v>Genoa 6KG2</v>
          </cell>
          <cell r="E1532">
            <v>32264.718130000001</v>
          </cell>
          <cell r="G1532">
            <v>1</v>
          </cell>
        </row>
        <row r="1533">
          <cell r="A1533" t="str">
            <v>405-1001900</v>
          </cell>
          <cell r="B1533" t="str">
            <v>Genoa 8KG2</v>
          </cell>
          <cell r="E1533">
            <v>34883.588750000003</v>
          </cell>
          <cell r="G1533">
            <v>14</v>
          </cell>
        </row>
        <row r="1534">
          <cell r="A1534" t="str">
            <v>405-1001901</v>
          </cell>
          <cell r="B1534" t="str">
            <v>Akira G2</v>
          </cell>
          <cell r="E1534">
            <v>6759.1910399999997</v>
          </cell>
          <cell r="G1534">
            <v>41</v>
          </cell>
        </row>
        <row r="1535">
          <cell r="A1535" t="str">
            <v>41-1000044</v>
          </cell>
          <cell r="B1535" t="str">
            <v>DB FACEPLATE TAB</v>
          </cell>
          <cell r="E1535">
            <v>0</v>
          </cell>
          <cell r="G1535">
            <v>0</v>
          </cell>
        </row>
        <row r="1536">
          <cell r="A1536" t="str">
            <v>41-1000046</v>
          </cell>
          <cell r="B1536" t="str">
            <v>FARADAY, DB BOX</v>
          </cell>
          <cell r="E1536">
            <v>501</v>
          </cell>
          <cell r="G1536">
            <v>36</v>
          </cell>
        </row>
        <row r="1537">
          <cell r="A1537" t="str">
            <v>41-1000047</v>
          </cell>
          <cell r="B1537" t="str">
            <v>VOLTA 2K, DB BOX</v>
          </cell>
          <cell r="E1537">
            <v>0</v>
          </cell>
          <cell r="G1537">
            <v>0</v>
          </cell>
        </row>
        <row r="1538">
          <cell r="A1538" t="str">
            <v>41-1000426</v>
          </cell>
          <cell r="B1538" t="str">
            <v xml:space="preserve">ENCLOSURE (MODIFIED) MODULBOX XTS 5M53-C </v>
          </cell>
          <cell r="E1538">
            <v>260.82058999999998</v>
          </cell>
          <cell r="G1538">
            <v>2968</v>
          </cell>
        </row>
        <row r="1539">
          <cell r="A1539" t="str">
            <v>41-1000427</v>
          </cell>
          <cell r="B1539" t="str">
            <v>ENCLOSURE LID (MODIFIED) PANEL MODULBOX WITH FRAME 5M</v>
          </cell>
          <cell r="E1539">
            <v>24.033909999999999</v>
          </cell>
          <cell r="G1539">
            <v>2929</v>
          </cell>
        </row>
        <row r="1540">
          <cell r="A1540" t="str">
            <v>41-1000429</v>
          </cell>
          <cell r="B1540" t="str">
            <v>DB MAGNET TAB</v>
          </cell>
          <cell r="E1540">
            <v>0</v>
          </cell>
          <cell r="G1540">
            <v>0</v>
          </cell>
        </row>
        <row r="1541">
          <cell r="A1541" t="str">
            <v>41-1000470</v>
          </cell>
          <cell r="B1541" t="str">
            <v>500W FRONT PANEL, USB</v>
          </cell>
          <cell r="E1541">
            <v>15.07</v>
          </cell>
          <cell r="G1541">
            <v>2562</v>
          </cell>
        </row>
        <row r="1542">
          <cell r="A1542" t="str">
            <v>41-1000473</v>
          </cell>
          <cell r="B1542" t="str">
            <v>VOLTA 500 REAR PANEL</v>
          </cell>
          <cell r="E1542">
            <v>15.73</v>
          </cell>
          <cell r="G1542">
            <v>2460</v>
          </cell>
        </row>
        <row r="1543">
          <cell r="A1543" t="str">
            <v>41-1000481</v>
          </cell>
          <cell r="B1543" t="str">
            <v xml:space="preserve">VOLTA 500 SIDE PANEL </v>
          </cell>
          <cell r="E1543">
            <v>112.00475</v>
          </cell>
          <cell r="G1543">
            <v>1304</v>
          </cell>
        </row>
        <row r="1544">
          <cell r="A1544" t="str">
            <v>41-1000482</v>
          </cell>
          <cell r="B1544" t="str">
            <v>VOLTA 500, BASE PLATE</v>
          </cell>
          <cell r="E1544">
            <v>129.88319999999999</v>
          </cell>
          <cell r="G1544">
            <v>2063</v>
          </cell>
        </row>
        <row r="1545">
          <cell r="A1545" t="str">
            <v>41-1000488</v>
          </cell>
          <cell r="B1545" t="str">
            <v xml:space="preserve">UPS 500W TOP PANEL </v>
          </cell>
          <cell r="E1545">
            <v>15.96</v>
          </cell>
          <cell r="G1545">
            <v>5713</v>
          </cell>
        </row>
        <row r="1546">
          <cell r="A1546" t="str">
            <v>41-1000489</v>
          </cell>
          <cell r="B1546" t="str">
            <v>VOLTA 500, BOTTOM</v>
          </cell>
          <cell r="E1546">
            <v>15.94825</v>
          </cell>
          <cell r="G1546">
            <v>3031</v>
          </cell>
        </row>
        <row r="1547">
          <cell r="A1547" t="str">
            <v>41-1000490</v>
          </cell>
          <cell r="B1547" t="str">
            <v>BATTERY CLAMP, 100AH</v>
          </cell>
          <cell r="E1547">
            <v>5.0762700000000001</v>
          </cell>
          <cell r="G1547">
            <v>5582</v>
          </cell>
        </row>
        <row r="1548">
          <cell r="A1548" t="str">
            <v>41-1000491</v>
          </cell>
          <cell r="B1548" t="str">
            <v>VOLTA 500, CORNER PILLAR</v>
          </cell>
          <cell r="E1548">
            <v>6.3498299999999999</v>
          </cell>
          <cell r="G1548">
            <v>11710</v>
          </cell>
        </row>
        <row r="1549">
          <cell r="A1549" t="str">
            <v>41-1000492</v>
          </cell>
          <cell r="B1549" t="str">
            <v>BATTERY BRACKET A, 100AH</v>
          </cell>
          <cell r="E1549">
            <v>5.4006699999999999</v>
          </cell>
          <cell r="G1549">
            <v>8034</v>
          </cell>
        </row>
        <row r="1550">
          <cell r="A1550" t="str">
            <v>41-1000493</v>
          </cell>
          <cell r="B1550" t="str">
            <v>BATTERY BRACKET B, 100AH</v>
          </cell>
          <cell r="E1550">
            <v>4.9451099999999997</v>
          </cell>
          <cell r="G1550">
            <v>4091</v>
          </cell>
        </row>
        <row r="1551">
          <cell r="A1551" t="str">
            <v>41-1000494</v>
          </cell>
          <cell r="B1551" t="str">
            <v>INVERTER BRACKET A</v>
          </cell>
          <cell r="E1551">
            <v>6.29901</v>
          </cell>
          <cell r="G1551">
            <v>6116</v>
          </cell>
        </row>
        <row r="1552">
          <cell r="A1552" t="str">
            <v>41-1000495</v>
          </cell>
          <cell r="B1552" t="str">
            <v>CHARGER BRACKET A</v>
          </cell>
          <cell r="E1552">
            <v>6.26973</v>
          </cell>
          <cell r="G1552">
            <v>8001</v>
          </cell>
        </row>
        <row r="1553">
          <cell r="A1553" t="str">
            <v>41-1000665</v>
          </cell>
          <cell r="B1553" t="str">
            <v>SIENA, GLAND PLATE</v>
          </cell>
          <cell r="E1553">
            <v>0</v>
          </cell>
          <cell r="G1553">
            <v>0</v>
          </cell>
        </row>
        <row r="1554">
          <cell r="A1554" t="str">
            <v>41-1000759</v>
          </cell>
          <cell r="B1554" t="str">
            <v>Partion plate, Din rail mount</v>
          </cell>
          <cell r="E1554">
            <v>27.635000000000002</v>
          </cell>
          <cell r="G1554">
            <v>112</v>
          </cell>
        </row>
        <row r="1555">
          <cell r="A1555" t="str">
            <v>41-1000864</v>
          </cell>
          <cell r="B1555" t="str">
            <v>VOLTA 6K, GLANDPLATE</v>
          </cell>
          <cell r="E1555">
            <v>0</v>
          </cell>
          <cell r="G1555">
            <v>0</v>
          </cell>
        </row>
        <row r="1556">
          <cell r="A1556" t="str">
            <v>41-1000869</v>
          </cell>
          <cell r="B1556" t="str">
            <v>VOLTA 6K, DB FACEPLATE</v>
          </cell>
          <cell r="E1556">
            <v>0</v>
          </cell>
          <cell r="G1556">
            <v>0</v>
          </cell>
        </row>
        <row r="1557">
          <cell r="A1557" t="str">
            <v>41-1000900</v>
          </cell>
          <cell r="B1557" t="str">
            <v>DB PARTITION PLATE</v>
          </cell>
          <cell r="E1557">
            <v>0</v>
          </cell>
          <cell r="G1557">
            <v>0</v>
          </cell>
        </row>
        <row r="1558">
          <cell r="A1558" t="str">
            <v>41-1000904</v>
          </cell>
          <cell r="B1558" t="str">
            <v>100AH CELL, SPACER</v>
          </cell>
          <cell r="E1558">
            <v>5.9519099999999998</v>
          </cell>
          <cell r="G1558">
            <v>18544</v>
          </cell>
        </row>
        <row r="1559">
          <cell r="A1559" t="str">
            <v>41-1000905</v>
          </cell>
          <cell r="B1559" t="str">
            <v>100AH CELL, END PLATE</v>
          </cell>
          <cell r="E1559">
            <v>14.554819999999999</v>
          </cell>
          <cell r="G1559">
            <v>5225</v>
          </cell>
        </row>
        <row r="1560">
          <cell r="A1560" t="str">
            <v>41-1000906</v>
          </cell>
          <cell r="B1560" t="str">
            <v>100AH CELL, FASTENING END PLATE</v>
          </cell>
          <cell r="E1560">
            <v>26.827570000000001</v>
          </cell>
          <cell r="G1560">
            <v>5164</v>
          </cell>
        </row>
        <row r="1561">
          <cell r="A1561" t="str">
            <v>41-1000907</v>
          </cell>
          <cell r="B1561" t="str">
            <v>100AH 8S CELL PACK, COVER</v>
          </cell>
          <cell r="E1561">
            <v>43.881210000000003</v>
          </cell>
          <cell r="G1561">
            <v>65</v>
          </cell>
        </row>
        <row r="1562">
          <cell r="A1562" t="str">
            <v>41-1000916</v>
          </cell>
          <cell r="B1562" t="str">
            <v>REPONO 48, FRONT FACE</v>
          </cell>
          <cell r="E1562">
            <v>0</v>
          </cell>
          <cell r="G1562">
            <v>0</v>
          </cell>
        </row>
        <row r="1563">
          <cell r="A1563" t="str">
            <v>41-1000917</v>
          </cell>
          <cell r="B1563" t="str">
            <v>Repono 48, Lid, Horizontal</v>
          </cell>
          <cell r="E1563">
            <v>0</v>
          </cell>
          <cell r="G1563">
            <v>0</v>
          </cell>
        </row>
        <row r="1564">
          <cell r="A1564" t="str">
            <v>41-1000918</v>
          </cell>
          <cell r="B1564" t="str">
            <v>Repono 48, Horizontal Cleat</v>
          </cell>
          <cell r="E1564">
            <v>0</v>
          </cell>
          <cell r="G1564">
            <v>0</v>
          </cell>
        </row>
        <row r="1565">
          <cell r="A1565" t="str">
            <v>41-1000920</v>
          </cell>
          <cell r="B1565" t="str">
            <v>REPONO 48, VERTICAL BASE</v>
          </cell>
          <cell r="E1565">
            <v>0</v>
          </cell>
          <cell r="G1565">
            <v>0</v>
          </cell>
        </row>
        <row r="1566">
          <cell r="A1566" t="str">
            <v>41-1000922</v>
          </cell>
          <cell r="B1566" t="str">
            <v>REPONO 48, ISOLATOR BRACKET</v>
          </cell>
          <cell r="E1566">
            <v>22.021730000000002</v>
          </cell>
          <cell r="G1566">
            <v>612</v>
          </cell>
        </row>
        <row r="1567">
          <cell r="A1567" t="str">
            <v>41-1000944</v>
          </cell>
          <cell r="B1567" t="str">
            <v>Repono 48, Horizontal Base</v>
          </cell>
          <cell r="E1567">
            <v>0</v>
          </cell>
          <cell r="G1567">
            <v>0</v>
          </cell>
        </row>
        <row r="1568">
          <cell r="A1568" t="str">
            <v>41-1000949</v>
          </cell>
          <cell r="B1568" t="str">
            <v>Battery Sleeve, 100Ah, 8 Cell</v>
          </cell>
          <cell r="E1568">
            <v>0</v>
          </cell>
          <cell r="G1568">
            <v>0</v>
          </cell>
        </row>
        <row r="1569">
          <cell r="A1569" t="str">
            <v>41-1000956</v>
          </cell>
          <cell r="B1569" t="str">
            <v>REPONO 48, LID, VERTICAL</v>
          </cell>
          <cell r="E1569">
            <v>0</v>
          </cell>
          <cell r="G1569">
            <v>0</v>
          </cell>
        </row>
        <row r="1570">
          <cell r="A1570" t="str">
            <v>41-1000958</v>
          </cell>
          <cell r="B1570" t="str">
            <v>REPONO 48, VERTICAL CLEAT</v>
          </cell>
          <cell r="E1570">
            <v>0</v>
          </cell>
          <cell r="G1570">
            <v>0</v>
          </cell>
        </row>
        <row r="1571">
          <cell r="A1571" t="str">
            <v>41-1001048</v>
          </cell>
          <cell r="B1571" t="str">
            <v xml:space="preserve">REPONO 48, BATTERY FASTENING ANGLE </v>
          </cell>
          <cell r="E1571">
            <v>9.7252100000000006</v>
          </cell>
          <cell r="G1571">
            <v>320</v>
          </cell>
        </row>
        <row r="1572">
          <cell r="A1572" t="str">
            <v>41-1001049</v>
          </cell>
          <cell r="B1572" t="str">
            <v xml:space="preserve">REPONO 48, MID PLANE </v>
          </cell>
          <cell r="E1572">
            <v>62.519759999999998</v>
          </cell>
          <cell r="G1572">
            <v>319</v>
          </cell>
        </row>
        <row r="1573">
          <cell r="A1573" t="str">
            <v>41-1001565</v>
          </cell>
          <cell r="B1573" t="str">
            <v>100Ah Cell, Spacer, Type B</v>
          </cell>
          <cell r="E1573">
            <v>0</v>
          </cell>
          <cell r="G1573">
            <v>0</v>
          </cell>
        </row>
        <row r="1574">
          <cell r="A1574" t="str">
            <v>41-1001603</v>
          </cell>
          <cell r="B1574" t="str">
            <v>Controller Enclosure, Type A, Mounting Bracket</v>
          </cell>
          <cell r="E1574">
            <v>9.56</v>
          </cell>
          <cell r="G1574">
            <v>2</v>
          </cell>
        </row>
        <row r="1575">
          <cell r="A1575" t="str">
            <v>41-1001708</v>
          </cell>
          <cell r="B1575" t="str">
            <v>Q Cabinet, Controller Enclosure, Type A, Cross Mount Bracket</v>
          </cell>
          <cell r="E1575">
            <v>47.94</v>
          </cell>
          <cell r="G1575">
            <v>7</v>
          </cell>
        </row>
        <row r="1576">
          <cell r="A1576" t="str">
            <v>41-1001750</v>
          </cell>
          <cell r="B1576" t="str">
            <v>Q Cabinet, Controller Enclosure, Router Bracket</v>
          </cell>
          <cell r="E1576">
            <v>49</v>
          </cell>
          <cell r="G1576">
            <v>7</v>
          </cell>
        </row>
        <row r="1577">
          <cell r="A1577" t="str">
            <v>41-1001851</v>
          </cell>
          <cell r="B1577" t="str">
            <v>Gramme PDU MQ10 Flash Cover Top</v>
          </cell>
          <cell r="E1577">
            <v>407.98</v>
          </cell>
          <cell r="G1577">
            <v>2</v>
          </cell>
        </row>
        <row r="1578">
          <cell r="A1578" t="str">
            <v>41-1001852</v>
          </cell>
          <cell r="B1578" t="str">
            <v>Gramme PDU MQ10 Flash Cover Top LH Box</v>
          </cell>
          <cell r="E1578">
            <v>497.5</v>
          </cell>
          <cell r="G1578">
            <v>2</v>
          </cell>
        </row>
        <row r="1579">
          <cell r="A1579" t="str">
            <v>41-1001853</v>
          </cell>
          <cell r="B1579" t="str">
            <v>Gramme PDU MQ10 Flash Cover Top RH Box</v>
          </cell>
          <cell r="E1579">
            <v>567.5</v>
          </cell>
          <cell r="G1579">
            <v>2</v>
          </cell>
        </row>
        <row r="1580">
          <cell r="A1580" t="str">
            <v>41-1200100</v>
          </cell>
          <cell r="B1580" t="str">
            <v>BP BOX - 8 CELL</v>
          </cell>
          <cell r="E1580">
            <v>0</v>
          </cell>
          <cell r="G1580">
            <v>0</v>
          </cell>
        </row>
        <row r="1581">
          <cell r="A1581" t="str">
            <v>41-1200101</v>
          </cell>
          <cell r="B1581" t="str">
            <v>BP STRAP - 8CELL</v>
          </cell>
          <cell r="E1581">
            <v>0</v>
          </cell>
          <cell r="G1581">
            <v>0</v>
          </cell>
        </row>
        <row r="1582">
          <cell r="A1582" t="str">
            <v>41-1200103</v>
          </cell>
          <cell r="B1582" t="str">
            <v>B48 MOUNTING PLATE</v>
          </cell>
          <cell r="E1582">
            <v>0</v>
          </cell>
          <cell r="G1582">
            <v>0</v>
          </cell>
        </row>
        <row r="1583">
          <cell r="A1583" t="str">
            <v>41-1200105</v>
          </cell>
          <cell r="B1583" t="str">
            <v>B48 FLASH COVER</v>
          </cell>
          <cell r="E1583">
            <v>92.715890000000002</v>
          </cell>
          <cell r="G1583">
            <v>1083</v>
          </cell>
        </row>
        <row r="1584">
          <cell r="A1584" t="str">
            <v>41-1200106</v>
          </cell>
          <cell r="B1584" t="str">
            <v>B24, MOUNTING PLATE</v>
          </cell>
          <cell r="E1584">
            <v>0</v>
          </cell>
          <cell r="G1584">
            <v>155</v>
          </cell>
        </row>
        <row r="1585">
          <cell r="A1585" t="str">
            <v>41-1200108</v>
          </cell>
          <cell r="B1585" t="str">
            <v>B24 FLASH COVER</v>
          </cell>
          <cell r="E1585">
            <v>55.59639</v>
          </cell>
          <cell r="G1585">
            <v>1337</v>
          </cell>
        </row>
        <row r="1586">
          <cell r="A1586" t="str">
            <v>41-1201100</v>
          </cell>
          <cell r="B1586" t="str">
            <v>MOUNTING CLEAT SPACER</v>
          </cell>
          <cell r="E1586">
            <v>0</v>
          </cell>
          <cell r="G1586">
            <v>0</v>
          </cell>
        </row>
        <row r="1587">
          <cell r="A1587" t="str">
            <v>41-1201101</v>
          </cell>
          <cell r="B1587" t="str">
            <v>MOUNTING CLEAT HOOK</v>
          </cell>
          <cell r="E1587">
            <v>0</v>
          </cell>
          <cell r="G1587">
            <v>0</v>
          </cell>
        </row>
        <row r="1588">
          <cell r="A1588" t="str">
            <v>41-1201103</v>
          </cell>
          <cell r="B1588" t="str">
            <v>COVER PIN</v>
          </cell>
          <cell r="E1588">
            <v>0</v>
          </cell>
          <cell r="G1588">
            <v>0</v>
          </cell>
        </row>
        <row r="1589">
          <cell r="A1589" t="str">
            <v>41-1201104</v>
          </cell>
          <cell r="B1589" t="str">
            <v>COVER BOLT TAB</v>
          </cell>
          <cell r="E1589">
            <v>0</v>
          </cell>
          <cell r="G1589">
            <v>0</v>
          </cell>
        </row>
        <row r="1590">
          <cell r="A1590" t="str">
            <v>41-1201105</v>
          </cell>
          <cell r="B1590" t="str">
            <v>COVER HOOK</v>
          </cell>
          <cell r="E1590">
            <v>0</v>
          </cell>
          <cell r="G1590">
            <v>0</v>
          </cell>
        </row>
        <row r="1591">
          <cell r="A1591" t="str">
            <v>41-1201106</v>
          </cell>
          <cell r="B1591" t="str">
            <v>SSEG COVER - PART</v>
          </cell>
          <cell r="E1591">
            <v>0</v>
          </cell>
          <cell r="G1591">
            <v>0</v>
          </cell>
        </row>
        <row r="1592">
          <cell r="A1592" t="str">
            <v>41-1201107</v>
          </cell>
          <cell r="B1592" t="str">
            <v>AKIRA, GLAND PLATE</v>
          </cell>
          <cell r="E1592">
            <v>0</v>
          </cell>
          <cell r="G1592">
            <v>0</v>
          </cell>
        </row>
        <row r="1593">
          <cell r="A1593" t="str">
            <v>41-1201108</v>
          </cell>
          <cell r="B1593" t="str">
            <v>MOLEX MOUNTING BRACKET</v>
          </cell>
          <cell r="E1593">
            <v>0</v>
          </cell>
          <cell r="G1593">
            <v>0</v>
          </cell>
        </row>
        <row r="1594">
          <cell r="A1594" t="str">
            <v>41-1201109</v>
          </cell>
          <cell r="B1594" t="str">
            <v>AKIRA, BATTERY PACK, MOUNTING BRACKET</v>
          </cell>
          <cell r="E1594">
            <v>0</v>
          </cell>
          <cell r="G1594">
            <v>0</v>
          </cell>
        </row>
        <row r="1595">
          <cell r="A1595" t="str">
            <v>41-1201110</v>
          </cell>
          <cell r="B1595" t="str">
            <v>AKIRA, CROSSBEAM</v>
          </cell>
          <cell r="E1595">
            <v>0</v>
          </cell>
          <cell r="G1595">
            <v>0</v>
          </cell>
        </row>
        <row r="1596">
          <cell r="A1596" t="str">
            <v>41-1201111</v>
          </cell>
          <cell r="B1596" t="str">
            <v>AKIRA, CROSSBEAM, CLEATED</v>
          </cell>
          <cell r="E1596">
            <v>0</v>
          </cell>
          <cell r="G1596">
            <v>0</v>
          </cell>
        </row>
        <row r="1597">
          <cell r="A1597" t="str">
            <v>41-1201112</v>
          </cell>
          <cell r="B1597" t="str">
            <v>AKIRA, UPRIGHT, R</v>
          </cell>
          <cell r="E1597">
            <v>0</v>
          </cell>
          <cell r="G1597">
            <v>0</v>
          </cell>
        </row>
        <row r="1598">
          <cell r="A1598" t="str">
            <v>41-1201113</v>
          </cell>
          <cell r="B1598" t="str">
            <v>AKIRA, UPRIGHT, L</v>
          </cell>
          <cell r="E1598">
            <v>0</v>
          </cell>
          <cell r="G1598">
            <v>0</v>
          </cell>
        </row>
        <row r="1599">
          <cell r="A1599" t="str">
            <v>41-1201114</v>
          </cell>
          <cell r="B1599" t="str">
            <v>AKIRA, BASEPLATE</v>
          </cell>
          <cell r="E1599">
            <v>0</v>
          </cell>
          <cell r="G1599">
            <v>0</v>
          </cell>
        </row>
        <row r="1600">
          <cell r="A1600" t="str">
            <v>41-1201117</v>
          </cell>
          <cell r="B1600" t="str">
            <v>FARADAY, DB FACEPLATE</v>
          </cell>
          <cell r="E1600">
            <v>0</v>
          </cell>
          <cell r="G1600">
            <v>0</v>
          </cell>
        </row>
        <row r="1601">
          <cell r="A1601" t="str">
            <v>41-1201118</v>
          </cell>
          <cell r="B1601" t="str">
            <v>FARADAY, DB COVER</v>
          </cell>
          <cell r="E1601">
            <v>0</v>
          </cell>
          <cell r="G1601">
            <v>0</v>
          </cell>
        </row>
        <row r="1602">
          <cell r="A1602" t="str">
            <v>41-1201122</v>
          </cell>
          <cell r="B1602" t="str">
            <v>FARADAY, GLAND PLATE</v>
          </cell>
          <cell r="E1602">
            <v>0</v>
          </cell>
          <cell r="G1602">
            <v>0</v>
          </cell>
        </row>
        <row r="1603">
          <cell r="A1603" t="str">
            <v>41-1201123</v>
          </cell>
          <cell r="B1603" t="str">
            <v>FARADAY, CROSSBEAM, LOWER</v>
          </cell>
          <cell r="E1603">
            <v>0</v>
          </cell>
          <cell r="G1603">
            <v>0</v>
          </cell>
        </row>
        <row r="1604">
          <cell r="A1604" t="str">
            <v>41-1201124</v>
          </cell>
          <cell r="B1604" t="str">
            <v>FARADAY, CROSSBEAM, UPPER</v>
          </cell>
          <cell r="E1604">
            <v>0</v>
          </cell>
          <cell r="G1604">
            <v>0</v>
          </cell>
        </row>
        <row r="1605">
          <cell r="A1605" t="str">
            <v>41-1201125</v>
          </cell>
          <cell r="B1605" t="str">
            <v>FARADAY, UPRIGHT R</v>
          </cell>
          <cell r="E1605">
            <v>0</v>
          </cell>
          <cell r="G1605">
            <v>0</v>
          </cell>
        </row>
        <row r="1606">
          <cell r="A1606" t="str">
            <v>41-1201126</v>
          </cell>
          <cell r="B1606" t="str">
            <v>FARADAY, UPRIGHT L</v>
          </cell>
          <cell r="E1606">
            <v>0</v>
          </cell>
          <cell r="G1606">
            <v>0</v>
          </cell>
        </row>
        <row r="1607">
          <cell r="A1607" t="str">
            <v>41-1201127</v>
          </cell>
          <cell r="B1607" t="str">
            <v>FARADAY, BASEPLATE</v>
          </cell>
          <cell r="E1607">
            <v>0</v>
          </cell>
          <cell r="G1607">
            <v>0</v>
          </cell>
        </row>
        <row r="1608">
          <cell r="A1608" t="str">
            <v>41-1201131</v>
          </cell>
          <cell r="B1608" t="str">
            <v>FARADAY, CONTROLLER COVER</v>
          </cell>
          <cell r="E1608">
            <v>0</v>
          </cell>
          <cell r="G1608">
            <v>0</v>
          </cell>
        </row>
        <row r="1609">
          <cell r="A1609" t="str">
            <v>41-1201143</v>
          </cell>
          <cell r="B1609" t="str">
            <v>AKIRA, COVER</v>
          </cell>
          <cell r="E1609">
            <v>0</v>
          </cell>
          <cell r="G1609">
            <v>0</v>
          </cell>
        </row>
        <row r="1610">
          <cell r="A1610" t="str">
            <v>41-1201145</v>
          </cell>
          <cell r="B1610" t="str">
            <v>RESET BUTTON MOUNTING BRACKET - METAL</v>
          </cell>
          <cell r="E1610">
            <v>0</v>
          </cell>
          <cell r="G1610">
            <v>0</v>
          </cell>
        </row>
        <row r="1611">
          <cell r="A1611" t="str">
            <v>41-1202100</v>
          </cell>
          <cell r="B1611" t="str">
            <v>VOLTA 2K, COVER</v>
          </cell>
          <cell r="E1611">
            <v>0</v>
          </cell>
          <cell r="G1611">
            <v>0</v>
          </cell>
        </row>
        <row r="1612">
          <cell r="A1612" t="str">
            <v>41-1202102</v>
          </cell>
          <cell r="B1612" t="str">
            <v>VOLTA 2K, DB FACEPLATE - METAL</v>
          </cell>
          <cell r="E1612">
            <v>0</v>
          </cell>
          <cell r="G1612">
            <v>0</v>
          </cell>
        </row>
        <row r="1613">
          <cell r="A1613" t="str">
            <v>41-1202103</v>
          </cell>
          <cell r="B1613" t="str">
            <v>VOLTA 2K, DB COVER - METAL</v>
          </cell>
          <cell r="E1613">
            <v>0</v>
          </cell>
          <cell r="G1613">
            <v>0</v>
          </cell>
        </row>
        <row r="1614">
          <cell r="A1614" t="str">
            <v>41-1202107</v>
          </cell>
          <cell r="B1614" t="str">
            <v>VOLTA 2K, GLAND PLATE - METAL</v>
          </cell>
          <cell r="E1614">
            <v>0</v>
          </cell>
          <cell r="G1614">
            <v>0</v>
          </cell>
        </row>
        <row r="1615">
          <cell r="A1615" t="str">
            <v>41-1202108</v>
          </cell>
          <cell r="B1615" t="str">
            <v>VOLTA 2K, CROSSBEAM, LOWER</v>
          </cell>
          <cell r="E1615">
            <v>0</v>
          </cell>
          <cell r="G1615">
            <v>0</v>
          </cell>
        </row>
        <row r="1616">
          <cell r="A1616" t="str">
            <v>41-1202109</v>
          </cell>
          <cell r="B1616" t="str">
            <v>VOLTA 2K, CROSSBEAM, UPPER</v>
          </cell>
          <cell r="E1616">
            <v>0</v>
          </cell>
          <cell r="G1616">
            <v>0</v>
          </cell>
        </row>
        <row r="1617">
          <cell r="A1617" t="str">
            <v>41-1202110</v>
          </cell>
          <cell r="B1617" t="str">
            <v>VOLTA 2K, UPRIGHT</v>
          </cell>
          <cell r="E1617">
            <v>0</v>
          </cell>
          <cell r="G1617">
            <v>0</v>
          </cell>
        </row>
        <row r="1618">
          <cell r="A1618" t="str">
            <v>41-1202112</v>
          </cell>
          <cell r="B1618" t="str">
            <v>VOLTA 2K, BASEPLATE</v>
          </cell>
          <cell r="E1618">
            <v>0</v>
          </cell>
          <cell r="G1618">
            <v>0</v>
          </cell>
        </row>
        <row r="1619">
          <cell r="A1619" t="str">
            <v>41-1202115</v>
          </cell>
          <cell r="B1619" t="str">
            <v>VOLTA 2K, CONTROLLER COVER</v>
          </cell>
          <cell r="E1619">
            <v>0</v>
          </cell>
          <cell r="G1619">
            <v>0</v>
          </cell>
        </row>
        <row r="1620">
          <cell r="A1620" t="str">
            <v>41-2000165</v>
          </cell>
          <cell r="B1620" t="str">
            <v>DB DOOR MAGNET</v>
          </cell>
          <cell r="E1620">
            <v>7.25312</v>
          </cell>
          <cell r="G1620">
            <v>2216</v>
          </cell>
        </row>
        <row r="1621">
          <cell r="A1621" t="str">
            <v>41-2000427</v>
          </cell>
          <cell r="B1621" t="str">
            <v>CONTROLLER ENCLOSURE, FRONT PANEL</v>
          </cell>
          <cell r="E1621">
            <v>21.802</v>
          </cell>
          <cell r="G1621">
            <v>0</v>
          </cell>
        </row>
        <row r="1622">
          <cell r="A1622" t="str">
            <v>41-2000504</v>
          </cell>
          <cell r="B1622" t="str">
            <v>HINGE, CABINET, 40MM, MILD STEEL, GALVANISED</v>
          </cell>
          <cell r="E1622">
            <v>12</v>
          </cell>
          <cell r="G1622">
            <v>145</v>
          </cell>
        </row>
        <row r="1623">
          <cell r="A1623" t="str">
            <v>41-2000926</v>
          </cell>
          <cell r="B1623" t="str">
            <v xml:space="preserve">HANDLE, BOUTET, 100MM, M10, FOLDABLE </v>
          </cell>
          <cell r="E1623">
            <v>26.46105</v>
          </cell>
          <cell r="G1623">
            <v>0</v>
          </cell>
        </row>
        <row r="1624">
          <cell r="A1624" t="str">
            <v>41-2000938</v>
          </cell>
          <cell r="B1624" t="str">
            <v>BMS RESET BUTTON</v>
          </cell>
          <cell r="E1624">
            <v>3.1673900000000001</v>
          </cell>
          <cell r="G1624">
            <v>4768</v>
          </cell>
        </row>
        <row r="1625">
          <cell r="A1625" t="str">
            <v>42-1000919</v>
          </cell>
          <cell r="B1625" t="str">
            <v>REPONO 48, VERTICAL BASE</v>
          </cell>
          <cell r="E1625">
            <v>0</v>
          </cell>
          <cell r="G1625">
            <v>0</v>
          </cell>
        </row>
        <row r="1626">
          <cell r="A1626" t="str">
            <v>42-1000945</v>
          </cell>
          <cell r="B1626" t="str">
            <v>Repono 48, Horizontal Base</v>
          </cell>
          <cell r="E1626">
            <v>0</v>
          </cell>
          <cell r="G1626">
            <v>0</v>
          </cell>
        </row>
        <row r="1627">
          <cell r="A1627" t="str">
            <v>42-1000953</v>
          </cell>
          <cell r="B1627" t="str">
            <v>HANLEY STAND</v>
          </cell>
          <cell r="E1627">
            <v>1850</v>
          </cell>
          <cell r="G1627">
            <v>49</v>
          </cell>
        </row>
        <row r="1628">
          <cell r="A1628" t="str">
            <v>42-1200104</v>
          </cell>
          <cell r="B1628" t="str">
            <v>B48 BASE, WELDED ASSEMBLY</v>
          </cell>
          <cell r="E1628">
            <v>0</v>
          </cell>
          <cell r="G1628">
            <v>0</v>
          </cell>
        </row>
        <row r="1629">
          <cell r="A1629" t="str">
            <v>42-1200107</v>
          </cell>
          <cell r="B1629" t="str">
            <v>B24 BASE, WELDED ASSEMBLY</v>
          </cell>
          <cell r="E1629">
            <v>0</v>
          </cell>
          <cell r="G1629">
            <v>0</v>
          </cell>
        </row>
        <row r="1630">
          <cell r="A1630" t="str">
            <v>42-1201102</v>
          </cell>
          <cell r="B1630" t="str">
            <v>MOUNTING CLEAT</v>
          </cell>
          <cell r="E1630">
            <v>0</v>
          </cell>
          <cell r="G1630">
            <v>0</v>
          </cell>
        </row>
        <row r="1631">
          <cell r="A1631" t="str">
            <v>42-1201115</v>
          </cell>
          <cell r="B1631" t="str">
            <v>AKIRA BASE, WELDED ASSEMBLY</v>
          </cell>
          <cell r="E1631">
            <v>0</v>
          </cell>
          <cell r="G1631">
            <v>0</v>
          </cell>
        </row>
        <row r="1632">
          <cell r="A1632" t="str">
            <v>42-1201119</v>
          </cell>
          <cell r="B1632" t="str">
            <v>FARADAY, DB BOX, WELDED ASSEMBLY</v>
          </cell>
          <cell r="E1632">
            <v>0</v>
          </cell>
          <cell r="G1632">
            <v>0</v>
          </cell>
        </row>
        <row r="1633">
          <cell r="A1633" t="str">
            <v>42-1201128</v>
          </cell>
          <cell r="B1633" t="str">
            <v>FARADAY, BASE</v>
          </cell>
          <cell r="E1633">
            <v>0</v>
          </cell>
          <cell r="G1633">
            <v>0</v>
          </cell>
        </row>
        <row r="1634">
          <cell r="A1634" t="str">
            <v>42-1201130</v>
          </cell>
          <cell r="B1634" t="str">
            <v>FARADAY, COVER</v>
          </cell>
          <cell r="E1634">
            <v>0</v>
          </cell>
          <cell r="G1634">
            <v>0</v>
          </cell>
        </row>
        <row r="1635">
          <cell r="A1635" t="str">
            <v>42-1201144</v>
          </cell>
          <cell r="B1635" t="str">
            <v>AKIRA, COVER</v>
          </cell>
          <cell r="E1635">
            <v>0</v>
          </cell>
          <cell r="G1635">
            <v>0</v>
          </cell>
        </row>
        <row r="1636">
          <cell r="A1636" t="str">
            <v>42-1202101</v>
          </cell>
          <cell r="B1636" t="str">
            <v>VOLTA 2K, COVER - WELDED</v>
          </cell>
          <cell r="E1636">
            <v>0</v>
          </cell>
          <cell r="G1636">
            <v>0</v>
          </cell>
        </row>
        <row r="1637">
          <cell r="A1637" t="str">
            <v>42-1202104</v>
          </cell>
          <cell r="B1637" t="str">
            <v>VOLTA 2K, DB BOX, WELDED ASSEMBLY</v>
          </cell>
          <cell r="E1637">
            <v>0</v>
          </cell>
          <cell r="G1637">
            <v>0</v>
          </cell>
        </row>
        <row r="1638">
          <cell r="A1638" t="str">
            <v>42-1202113</v>
          </cell>
          <cell r="B1638" t="str">
            <v xml:space="preserve">VOLTA 2K, BASE - WELDED ASSEMBLY </v>
          </cell>
          <cell r="E1638">
            <v>0</v>
          </cell>
          <cell r="G1638">
            <v>0</v>
          </cell>
        </row>
        <row r="1639">
          <cell r="A1639" t="str">
            <v>43-2000896</v>
          </cell>
          <cell r="B1639" t="str">
            <v>Foam, Filling &amp; Insulating, Single component</v>
          </cell>
          <cell r="E1639">
            <v>0</v>
          </cell>
          <cell r="G1639">
            <v>0</v>
          </cell>
        </row>
        <row r="1640">
          <cell r="A1640" t="str">
            <v>43-2000897</v>
          </cell>
          <cell r="B1640" t="str">
            <v>Sealant, Silicone, Single Component</v>
          </cell>
          <cell r="E1640">
            <v>0</v>
          </cell>
          <cell r="G1640">
            <v>0</v>
          </cell>
        </row>
        <row r="1641">
          <cell r="A1641" t="str">
            <v>43-2001056</v>
          </cell>
          <cell r="B1641" t="str">
            <v>Solvent, IPA, 99%</v>
          </cell>
          <cell r="E1641">
            <v>450</v>
          </cell>
          <cell r="G1641">
            <v>0</v>
          </cell>
        </row>
        <row r="1642">
          <cell r="A1642" t="str">
            <v>44-2000003</v>
          </cell>
          <cell r="B1642" t="str">
            <v>HEATSHRINK, PRINTABLE, 12.7X8.5MM, 3:1, WHITE</v>
          </cell>
          <cell r="E1642">
            <v>2.8009900000000001</v>
          </cell>
          <cell r="G1642">
            <v>10000</v>
          </cell>
        </row>
        <row r="1643">
          <cell r="A1643" t="str">
            <v>44-2000017</v>
          </cell>
          <cell r="B1643" t="str">
            <v>RIBBON, THERMAL TRANSFER 1" CORE R6000 SERIES, HALOGEN FREE, 110MM X 300M</v>
          </cell>
          <cell r="E1643">
            <v>1.15E-2</v>
          </cell>
          <cell r="G1643">
            <v>0</v>
          </cell>
        </row>
        <row r="1644">
          <cell r="A1644" t="str">
            <v>44-2000018</v>
          </cell>
          <cell r="B1644" t="str">
            <v>RIBBON, THERMAL TRANSFER 1" CORE R6000 SERIES, HALOGEN FREE, 83MM X 300M</v>
          </cell>
          <cell r="E1644">
            <v>8.09E-3</v>
          </cell>
          <cell r="G1644">
            <v>300000</v>
          </cell>
        </row>
        <row r="1645">
          <cell r="A1645" t="str">
            <v>44-2000019</v>
          </cell>
          <cell r="B1645" t="str">
            <v>RIBBON, THERMAL TRANSFER 1" CORE R6600 SERIES, HALOGEN FREE, 60MM X 300M</v>
          </cell>
          <cell r="E1645">
            <v>7.7299999999999999E-3</v>
          </cell>
          <cell r="G1645">
            <v>300000</v>
          </cell>
        </row>
        <row r="1646">
          <cell r="A1646" t="str">
            <v>44-2000020</v>
          </cell>
          <cell r="B1646" t="str">
            <v>RIBBON, THERMAL TRANSFER 1" CORE R6600 SERIES, HALOGEN FREE, 110MM X 300M</v>
          </cell>
          <cell r="E1646">
            <v>0.01</v>
          </cell>
          <cell r="G1646">
            <v>8700000</v>
          </cell>
        </row>
        <row r="1647">
          <cell r="A1647" t="str">
            <v>44-2000262</v>
          </cell>
          <cell r="B1647" t="str">
            <v>HEATSHRINK, PRINTABLE, 50.8X21.6MM, 3:1, WHITE</v>
          </cell>
          <cell r="E1647">
            <v>26.49851</v>
          </cell>
          <cell r="G1647">
            <v>4250</v>
          </cell>
        </row>
        <row r="1648">
          <cell r="A1648" t="str">
            <v>44-2000567</v>
          </cell>
          <cell r="B1648" t="str">
            <v>THERMAL TRANSFER PRINTABLE LABEL, POLYESTER, 12.7X11.1MM</v>
          </cell>
          <cell r="E1648">
            <v>0.24185999999999999</v>
          </cell>
          <cell r="G1648">
            <v>20000</v>
          </cell>
        </row>
        <row r="1649">
          <cell r="A1649" t="str">
            <v>44-2000568</v>
          </cell>
          <cell r="B1649" t="str">
            <v>THERMAL TRANSFER PRINTABLE LABEL, POLYESTER, 27.9X9.7MM</v>
          </cell>
          <cell r="E1649">
            <v>0.31269000000000002</v>
          </cell>
          <cell r="G1649">
            <v>20000</v>
          </cell>
        </row>
        <row r="1650">
          <cell r="A1650" t="str">
            <v>44-2000691</v>
          </cell>
          <cell r="B1650" t="str">
            <v>SOLDER BAR, LEAD FREE</v>
          </cell>
          <cell r="E1650">
            <v>690</v>
          </cell>
          <cell r="G1650">
            <v>55.145000000000003</v>
          </cell>
        </row>
        <row r="1651">
          <cell r="A1651" t="str">
            <v>44-2000698</v>
          </cell>
          <cell r="B1651" t="str">
            <v>Flux, No-Clean, Liquid</v>
          </cell>
          <cell r="E1651">
            <v>0</v>
          </cell>
          <cell r="G1651">
            <v>0</v>
          </cell>
        </row>
        <row r="1652">
          <cell r="A1652" t="str">
            <v>44-2000700</v>
          </cell>
          <cell r="B1652" t="str">
            <v xml:space="preserve">SOLDER WIRE, NO-FLUX, LEAD-FREE, 1.6MM </v>
          </cell>
          <cell r="E1652">
            <v>364.93058000000002</v>
          </cell>
          <cell r="G1652">
            <v>20.887</v>
          </cell>
        </row>
        <row r="1653">
          <cell r="A1653" t="str">
            <v>44-2000959</v>
          </cell>
          <cell r="B1653" t="str">
            <v xml:space="preserve">SOLDER WIRE, LEACHDED, 0.7MM </v>
          </cell>
          <cell r="E1653">
            <v>1.0170600000000001</v>
          </cell>
          <cell r="G1653">
            <v>971</v>
          </cell>
        </row>
        <row r="1654">
          <cell r="A1654" t="str">
            <v>44-2001002</v>
          </cell>
          <cell r="B1654" t="str">
            <v>Tape, Filament, 16-18mm</v>
          </cell>
          <cell r="E1654">
            <v>0.99751000000000001</v>
          </cell>
          <cell r="G1654">
            <v>70</v>
          </cell>
        </row>
        <row r="1655">
          <cell r="A1655" t="str">
            <v>44-2001698</v>
          </cell>
          <cell r="B1655" t="str">
            <v>Label, Semi Gloss, 40x29mm</v>
          </cell>
          <cell r="E1655">
            <v>0.26529000000000003</v>
          </cell>
          <cell r="G1655">
            <v>0</v>
          </cell>
        </row>
        <row r="1656">
          <cell r="A1656" t="str">
            <v>44-2001699</v>
          </cell>
          <cell r="B1656" t="str">
            <v>Label, Semi Gloss, 100x48mm</v>
          </cell>
          <cell r="E1656">
            <v>0</v>
          </cell>
          <cell r="G1656">
            <v>0</v>
          </cell>
        </row>
        <row r="1657">
          <cell r="A1657" t="str">
            <v>44-2001700</v>
          </cell>
          <cell r="B1657" t="str">
            <v>Label, Semi Gloss, 95x11mm</v>
          </cell>
          <cell r="E1657">
            <v>0</v>
          </cell>
          <cell r="G1657">
            <v>0</v>
          </cell>
        </row>
        <row r="1658">
          <cell r="A1658" t="str">
            <v>44-2001701</v>
          </cell>
          <cell r="B1658" t="str">
            <v>Label, Semi Gloss, 98x80mm</v>
          </cell>
          <cell r="E1658">
            <v>0.76824999999999999</v>
          </cell>
          <cell r="G1658">
            <v>0</v>
          </cell>
        </row>
        <row r="1659">
          <cell r="A1659" t="str">
            <v>44-2001702</v>
          </cell>
          <cell r="B1659" t="str">
            <v>Ribbon, Thermal Transfer, Black, Wax Resin Out, Roll, 110mmx300m</v>
          </cell>
          <cell r="E1659">
            <v>0</v>
          </cell>
          <cell r="G1659">
            <v>0</v>
          </cell>
        </row>
        <row r="1660">
          <cell r="A1660" t="str">
            <v>46-1000394-01</v>
          </cell>
          <cell r="B1660" t="str">
            <v>DIN RAIL, CUT</v>
          </cell>
          <cell r="E1660">
            <v>0</v>
          </cell>
          <cell r="G1660">
            <v>0</v>
          </cell>
        </row>
        <row r="1661">
          <cell r="A1661" t="str">
            <v>46-1000394-02</v>
          </cell>
          <cell r="B1661" t="str">
            <v>DIN RAIL, CUT</v>
          </cell>
          <cell r="E1661">
            <v>17.82</v>
          </cell>
          <cell r="G1661">
            <v>0</v>
          </cell>
        </row>
        <row r="1662">
          <cell r="A1662" t="str">
            <v>46-1000394-03</v>
          </cell>
          <cell r="B1662" t="str">
            <v>DIN RAIL, CUT</v>
          </cell>
          <cell r="E1662">
            <v>0</v>
          </cell>
          <cell r="G1662">
            <v>0</v>
          </cell>
        </row>
        <row r="1663">
          <cell r="A1663" t="str">
            <v>46-1000394-100</v>
          </cell>
          <cell r="B1663" t="str">
            <v>DIN RAIL, CUT</v>
          </cell>
          <cell r="E1663">
            <v>5.94</v>
          </cell>
          <cell r="G1663">
            <v>629</v>
          </cell>
        </row>
        <row r="1664">
          <cell r="A1664" t="str">
            <v>46-1000394-120</v>
          </cell>
          <cell r="B1664" t="str">
            <v>DIN RAIL, CUT</v>
          </cell>
          <cell r="E1664">
            <v>8.9542900000000003</v>
          </cell>
          <cell r="G1664">
            <v>14</v>
          </cell>
        </row>
        <row r="1665">
          <cell r="A1665" t="str">
            <v>46-1000394-125</v>
          </cell>
          <cell r="B1665" t="str">
            <v>DIN RAIL, CUT</v>
          </cell>
          <cell r="E1665">
            <v>7.4249999999999998</v>
          </cell>
          <cell r="G1665">
            <v>10</v>
          </cell>
        </row>
        <row r="1666">
          <cell r="A1666" t="str">
            <v>46-1000394-150</v>
          </cell>
          <cell r="B1666" t="str">
            <v>DIN RAIL, CUT</v>
          </cell>
          <cell r="E1666">
            <v>9.0122800000000005</v>
          </cell>
          <cell r="G1666">
            <v>1303</v>
          </cell>
        </row>
        <row r="1667">
          <cell r="A1667" t="str">
            <v>46-1000394-200</v>
          </cell>
          <cell r="B1667" t="str">
            <v>DIN Rail, Cut</v>
          </cell>
          <cell r="E1667">
            <v>11.91682</v>
          </cell>
          <cell r="G1667">
            <v>1051</v>
          </cell>
        </row>
        <row r="1668">
          <cell r="A1668" t="str">
            <v>46-1000394-250</v>
          </cell>
          <cell r="B1668" t="str">
            <v>DIN Rail, Cut</v>
          </cell>
          <cell r="E1668">
            <v>15.72818</v>
          </cell>
          <cell r="G1668">
            <v>151</v>
          </cell>
        </row>
        <row r="1669">
          <cell r="A1669" t="str">
            <v>46-1000394-300</v>
          </cell>
          <cell r="B1669" t="str">
            <v>DIN Rail, Cut</v>
          </cell>
          <cell r="E1669">
            <v>18.989000000000001</v>
          </cell>
          <cell r="G1669">
            <v>25</v>
          </cell>
        </row>
        <row r="1670">
          <cell r="A1670" t="str">
            <v>46-1000394-350</v>
          </cell>
          <cell r="B1670" t="str">
            <v>DIN Rail, Cut</v>
          </cell>
          <cell r="E1670">
            <v>21.39667</v>
          </cell>
          <cell r="G1670">
            <v>60</v>
          </cell>
        </row>
        <row r="1671">
          <cell r="A1671" t="str">
            <v>46-1000394-400</v>
          </cell>
          <cell r="B1671" t="str">
            <v>DIN Rail, Cut</v>
          </cell>
          <cell r="E1671">
            <v>24.31467</v>
          </cell>
          <cell r="G1671">
            <v>55</v>
          </cell>
        </row>
        <row r="1672">
          <cell r="A1672" t="str">
            <v>46-1000394-500</v>
          </cell>
          <cell r="B1672" t="str">
            <v>DIN RAIL, CUT</v>
          </cell>
          <cell r="E1672">
            <v>29.7</v>
          </cell>
          <cell r="G1672">
            <v>0</v>
          </cell>
        </row>
        <row r="1673">
          <cell r="A1673" t="str">
            <v>46-1000394-60</v>
          </cell>
          <cell r="B1673" t="str">
            <v>DIN Rail, Cut</v>
          </cell>
          <cell r="E1673">
            <v>0</v>
          </cell>
          <cell r="G1673">
            <v>0</v>
          </cell>
        </row>
        <row r="1674">
          <cell r="A1674" t="str">
            <v>46-1000939</v>
          </cell>
          <cell r="B1674" t="str">
            <v>BUSSBAR, 125A DC, 60V, M6</v>
          </cell>
          <cell r="E1674">
            <v>9.5</v>
          </cell>
          <cell r="G1674">
            <v>0</v>
          </cell>
        </row>
        <row r="1675">
          <cell r="A1675" t="str">
            <v>46-1001902</v>
          </cell>
          <cell r="B1675" t="str">
            <v>Combiner box, DC, 2 input x 1 output</v>
          </cell>
          <cell r="E1675">
            <v>1121.2863500000001</v>
          </cell>
          <cell r="G1675">
            <v>200</v>
          </cell>
        </row>
        <row r="1676">
          <cell r="A1676" t="str">
            <v>46-1002054-250</v>
          </cell>
          <cell r="B1676" t="str">
            <v>Busbar, 20x5mm, M6, 1000mm, Copper, Cut</v>
          </cell>
          <cell r="E1676">
            <v>0</v>
          </cell>
          <cell r="G1676">
            <v>0</v>
          </cell>
        </row>
        <row r="1677">
          <cell r="A1677" t="str">
            <v>46-1002061-100</v>
          </cell>
          <cell r="B1677" t="str">
            <v>Busbar, 30x10mm, M8, 1000mm, Copper, Cut</v>
          </cell>
          <cell r="E1677">
            <v>0</v>
          </cell>
          <cell r="G1677">
            <v>0</v>
          </cell>
        </row>
        <row r="1678">
          <cell r="A1678" t="str">
            <v>46-1002061-250</v>
          </cell>
          <cell r="B1678" t="str">
            <v>Busbar, 30x10mm, M8, 1000mm, Copper, Cut</v>
          </cell>
          <cell r="E1678">
            <v>0</v>
          </cell>
          <cell r="G1678">
            <v>0</v>
          </cell>
        </row>
        <row r="1679">
          <cell r="A1679" t="str">
            <v>46-2000024</v>
          </cell>
          <cell r="B1679" t="str">
            <v>STAND-OFF, M3X15, F-F</v>
          </cell>
          <cell r="E1679">
            <v>2.5059999999999998</v>
          </cell>
          <cell r="G1679">
            <v>2864</v>
          </cell>
        </row>
        <row r="1680">
          <cell r="A1680" t="str">
            <v>46-2000025</v>
          </cell>
          <cell r="B1680" t="str">
            <v>STANDOFF, M3X60, FEMALE FEMALE</v>
          </cell>
          <cell r="E1680">
            <v>1.66</v>
          </cell>
          <cell r="G1680">
            <v>2294</v>
          </cell>
        </row>
        <row r="1681">
          <cell r="A1681" t="str">
            <v>46-2000166</v>
          </cell>
          <cell r="B1681" t="str">
            <v>DIN RAIL, 35X7.5</v>
          </cell>
          <cell r="E1681">
            <v>59.84057</v>
          </cell>
          <cell r="G1681">
            <v>3973</v>
          </cell>
        </row>
        <row r="1682">
          <cell r="A1682" t="str">
            <v>46-2000170</v>
          </cell>
          <cell r="B1682" t="str">
            <v>2 PIECE FIXING TIE, 200X4.6</v>
          </cell>
          <cell r="E1682">
            <v>2.9613700000000001</v>
          </cell>
          <cell r="G1682">
            <v>20017</v>
          </cell>
        </row>
        <row r="1683">
          <cell r="A1683" t="str">
            <v>46-2000587</v>
          </cell>
          <cell r="B1683" t="str">
            <v>Trunking, Double OBO, 45mm x 2, 165Wx53H, 2m, white</v>
          </cell>
          <cell r="E1683">
            <v>0</v>
          </cell>
          <cell r="G1683">
            <v>0</v>
          </cell>
        </row>
        <row r="1684">
          <cell r="A1684" t="str">
            <v>46-2000588</v>
          </cell>
          <cell r="B1684" t="str">
            <v>Trunking, flat angle OBO, 165Wx53H, white</v>
          </cell>
          <cell r="E1684">
            <v>0</v>
          </cell>
          <cell r="G1684">
            <v>0</v>
          </cell>
        </row>
        <row r="1685">
          <cell r="A1685" t="str">
            <v>46-2000589</v>
          </cell>
          <cell r="B1685" t="str">
            <v>Trunking, T-piece OBO, 45mm x 2, 165Wx53H, white</v>
          </cell>
          <cell r="E1685">
            <v>0</v>
          </cell>
          <cell r="G1685">
            <v>0</v>
          </cell>
        </row>
        <row r="1686">
          <cell r="A1686" t="str">
            <v>46-2000590</v>
          </cell>
          <cell r="B1686" t="str">
            <v>Trunking, End Piece OBO, 45mm x 2, 165Wx53H, white</v>
          </cell>
          <cell r="E1686">
            <v>0</v>
          </cell>
          <cell r="G1686">
            <v>0</v>
          </cell>
        </row>
        <row r="1687">
          <cell r="A1687" t="str">
            <v>46-2000591</v>
          </cell>
          <cell r="B1687" t="str">
            <v xml:space="preserve">Trunking, connectors OBO, 45mm x 2, 100-165mm, white </v>
          </cell>
          <cell r="E1687">
            <v>0</v>
          </cell>
          <cell r="G1687">
            <v>0</v>
          </cell>
        </row>
        <row r="1688">
          <cell r="A1688" t="str">
            <v>46-2000592</v>
          </cell>
          <cell r="B1688" t="str">
            <v>Trunking, Joint cover OBO, 45mm x 2, white</v>
          </cell>
          <cell r="E1688">
            <v>0</v>
          </cell>
          <cell r="G1688">
            <v>0</v>
          </cell>
        </row>
        <row r="1689">
          <cell r="A1689" t="str">
            <v>46-2000593</v>
          </cell>
          <cell r="B1689" t="str">
            <v>Trunking, PVC, Compact, 100x40, white</v>
          </cell>
          <cell r="E1689">
            <v>0</v>
          </cell>
          <cell r="G1689">
            <v>0</v>
          </cell>
        </row>
        <row r="1690">
          <cell r="A1690" t="str">
            <v>46-2000594</v>
          </cell>
          <cell r="B1690" t="str">
            <v>Trunking, PVC, compact end cap, 100x40, white</v>
          </cell>
          <cell r="E1690">
            <v>0</v>
          </cell>
          <cell r="G1690">
            <v>0</v>
          </cell>
        </row>
        <row r="1691">
          <cell r="A1691" t="str">
            <v>46-2000596</v>
          </cell>
          <cell r="B1691" t="str">
            <v>Conduit, clamp, PVC, 25mm Dia, white</v>
          </cell>
          <cell r="E1691">
            <v>0</v>
          </cell>
          <cell r="G1691">
            <v>0</v>
          </cell>
        </row>
        <row r="1692">
          <cell r="A1692" t="str">
            <v>46-2000610</v>
          </cell>
          <cell r="B1692" t="str">
            <v>W50B RAIL-L4200MM AI-6005-T5</v>
          </cell>
          <cell r="E1692">
            <v>209.76609999999999</v>
          </cell>
          <cell r="G1692">
            <v>6684</v>
          </cell>
        </row>
        <row r="1693">
          <cell r="A1693" t="str">
            <v>46-2000610-02</v>
          </cell>
          <cell r="B1693" t="str">
            <v>W50B RAIL-L4200MM AI-6005-T5 (Black)</v>
          </cell>
          <cell r="E1693">
            <v>767.42875000000004</v>
          </cell>
          <cell r="G1693">
            <v>0</v>
          </cell>
        </row>
        <row r="1694">
          <cell r="A1694" t="str">
            <v>46-2000611</v>
          </cell>
          <cell r="B1694" t="str">
            <v>RAIL SPLICE OF W50B AI-6005-T5</v>
          </cell>
          <cell r="E1694">
            <v>14.311959999999999</v>
          </cell>
          <cell r="G1694">
            <v>10140</v>
          </cell>
        </row>
        <row r="1695">
          <cell r="A1695" t="str">
            <v>46-2000611-02</v>
          </cell>
          <cell r="B1695" t="str">
            <v>RAIL SPLICE OF W50B AI-6005-T5 (Black)</v>
          </cell>
          <cell r="E1695">
            <v>52.442</v>
          </cell>
          <cell r="G1695">
            <v>0</v>
          </cell>
        </row>
        <row r="1696">
          <cell r="A1696" t="str">
            <v>46-2000612</v>
          </cell>
          <cell r="B1696" t="str">
            <v>RAPID MID CLAMP 35MM MODULE AI-6005-T5</v>
          </cell>
          <cell r="E1696">
            <v>6.6621600000000001</v>
          </cell>
          <cell r="G1696">
            <v>21442</v>
          </cell>
        </row>
        <row r="1697">
          <cell r="A1697" t="str">
            <v>46-2000612-02</v>
          </cell>
          <cell r="B1697" t="str">
            <v>RAPID MID CLAMP 35MM MODULE AI-6005-T5 (Black)</v>
          </cell>
          <cell r="E1697">
            <v>14.21846</v>
          </cell>
          <cell r="G1697">
            <v>0</v>
          </cell>
        </row>
        <row r="1698">
          <cell r="A1698" t="str">
            <v>46-2000613</v>
          </cell>
          <cell r="B1698" t="str">
            <v>RAPID END CLAMP 35MM MODULE AI-6005-T5</v>
          </cell>
          <cell r="E1698">
            <v>5.9474099999999996</v>
          </cell>
          <cell r="G1698">
            <v>6728</v>
          </cell>
        </row>
        <row r="1699">
          <cell r="A1699" t="str">
            <v>46-2000613-02</v>
          </cell>
          <cell r="B1699" t="str">
            <v>RAPID END CLAMP 35MM MODULE AI-6005-T5 (Black)</v>
          </cell>
          <cell r="E1699">
            <v>13.762499999999999</v>
          </cell>
          <cell r="G1699">
            <v>0</v>
          </cell>
        </row>
        <row r="1700">
          <cell r="A1700" t="str">
            <v>46-2000614</v>
          </cell>
          <cell r="B1700" t="str">
            <v>PV MOUNTING, HOOK, 5R, TILED ROOF</v>
          </cell>
          <cell r="E1700">
            <v>50.137140000000002</v>
          </cell>
          <cell r="G1700">
            <v>49667</v>
          </cell>
        </row>
        <row r="1701">
          <cell r="A1701" t="str">
            <v>46-2000615</v>
          </cell>
          <cell r="B1701" t="str">
            <v>PV MOUNTING, L-FEET, M11</v>
          </cell>
          <cell r="E1701">
            <v>16.331679999999999</v>
          </cell>
          <cell r="G1701">
            <v>71496</v>
          </cell>
        </row>
        <row r="1702">
          <cell r="A1702" t="str">
            <v>46-2000615-02</v>
          </cell>
          <cell r="B1702" t="str">
            <v>PV MOUNTING, L-FEET, M11 (Black)</v>
          </cell>
          <cell r="E1702">
            <v>48.597250000000003</v>
          </cell>
          <cell r="G1702">
            <v>0</v>
          </cell>
        </row>
        <row r="1703">
          <cell r="A1703" t="str">
            <v>46-2000616</v>
          </cell>
          <cell r="B1703" t="str">
            <v>PV MOUNTING, KLIP-LOK, BTR70</v>
          </cell>
          <cell r="E1703">
            <v>13.023820000000001</v>
          </cell>
          <cell r="G1703">
            <v>56854</v>
          </cell>
        </row>
        <row r="1704">
          <cell r="A1704" t="str">
            <v>46-2000617</v>
          </cell>
          <cell r="B1704" t="str">
            <v>PV MOUNTING, KLIP-LOK, S07</v>
          </cell>
          <cell r="E1704">
            <v>13.70215</v>
          </cell>
          <cell r="G1704">
            <v>58550</v>
          </cell>
        </row>
        <row r="1705">
          <cell r="A1705" t="str">
            <v>46-2000618</v>
          </cell>
          <cell r="B1705" t="str">
            <v>L-FEET WITH M11 HOLE FOR M10 HANGER BOLT</v>
          </cell>
          <cell r="E1705">
            <v>12.349299999999999</v>
          </cell>
          <cell r="G1705">
            <v>21181</v>
          </cell>
        </row>
        <row r="1706">
          <cell r="A1706" t="str">
            <v>46-2000619</v>
          </cell>
          <cell r="B1706" t="str">
            <v>Trunking, PVC, Compact, 40x40,  white</v>
          </cell>
          <cell r="E1706">
            <v>0</v>
          </cell>
          <cell r="G1706">
            <v>0</v>
          </cell>
        </row>
        <row r="1707">
          <cell r="A1707" t="str">
            <v>46-2000702</v>
          </cell>
          <cell r="B1707" t="str">
            <v>DIN RAIL, 35X7.5, ADAPTOR</v>
          </cell>
          <cell r="E1707">
            <v>5.3356899999999996</v>
          </cell>
          <cell r="G1707">
            <v>3464</v>
          </cell>
        </row>
        <row r="1708">
          <cell r="A1708" t="str">
            <v>46-2000772</v>
          </cell>
          <cell r="B1708" t="str">
            <v>SUNTREE DC COMBINER BOX 4 INPUT/ 1 OUTPUT</v>
          </cell>
          <cell r="E1708">
            <v>1685.8140599999999</v>
          </cell>
          <cell r="G1708">
            <v>1421</v>
          </cell>
        </row>
        <row r="1709">
          <cell r="A1709" t="str">
            <v>46-2000894</v>
          </cell>
          <cell r="B1709" t="str">
            <v>Trunking, PVC, End Cap, 40x40, White</v>
          </cell>
          <cell r="E1709">
            <v>0</v>
          </cell>
          <cell r="G1709">
            <v>0</v>
          </cell>
        </row>
        <row r="1710">
          <cell r="A1710" t="str">
            <v>46-2001106</v>
          </cell>
          <cell r="B1710" t="str">
            <v>Standoff, 3.5 Dia.x5mm, Male-Male, Clip-on, Plastic</v>
          </cell>
          <cell r="E1710">
            <v>1.0712999999999999</v>
          </cell>
          <cell r="G1710">
            <v>21776</v>
          </cell>
        </row>
        <row r="1711">
          <cell r="A1711" t="str">
            <v>46-2001316</v>
          </cell>
          <cell r="B1711" t="str">
            <v>Cable Tray, WWMD, 50x50, 3m Length, 0.3m Wide</v>
          </cell>
          <cell r="E1711">
            <v>0</v>
          </cell>
          <cell r="G1711">
            <v>0</v>
          </cell>
        </row>
        <row r="1712">
          <cell r="A1712" t="str">
            <v>46-2001317</v>
          </cell>
          <cell r="B1712" t="str">
            <v>Cable Tray, WWMD, 90Deg, R160, 0.3m Wide</v>
          </cell>
          <cell r="E1712">
            <v>0</v>
          </cell>
          <cell r="G1712">
            <v>0</v>
          </cell>
        </row>
        <row r="1713">
          <cell r="A1713" t="str">
            <v>46-2001318</v>
          </cell>
          <cell r="B1713" t="str">
            <v>Cable Tray, WWMD, T-piece, R160, 0.3m Wide</v>
          </cell>
          <cell r="E1713">
            <v>0</v>
          </cell>
          <cell r="G1713">
            <v>0</v>
          </cell>
        </row>
        <row r="1714">
          <cell r="A1714" t="str">
            <v>46-2001319</v>
          </cell>
          <cell r="B1714" t="str">
            <v>Cable Tray, Earthing Terminal, 16mm2</v>
          </cell>
          <cell r="E1714">
            <v>0</v>
          </cell>
          <cell r="G1714">
            <v>0</v>
          </cell>
        </row>
        <row r="1715">
          <cell r="A1715" t="str">
            <v>46-2001320</v>
          </cell>
          <cell r="B1715" t="str">
            <v>Cable Tray, Flush Hold Down Saddle, 8.5mm</v>
          </cell>
          <cell r="E1715">
            <v>0</v>
          </cell>
          <cell r="G1715">
            <v>0</v>
          </cell>
        </row>
        <row r="1716">
          <cell r="A1716" t="str">
            <v>46-2001321</v>
          </cell>
          <cell r="B1716" t="str">
            <v>Cable Tray, Cable Clamp, 26mm</v>
          </cell>
          <cell r="E1716">
            <v>0</v>
          </cell>
          <cell r="G1716">
            <v>0</v>
          </cell>
        </row>
        <row r="1717">
          <cell r="A1717" t="str">
            <v>46-2001322</v>
          </cell>
          <cell r="B1717" t="str">
            <v>Cable Tray, Cable Clamp, 40mm</v>
          </cell>
          <cell r="E1717">
            <v>0</v>
          </cell>
          <cell r="G1717">
            <v>0</v>
          </cell>
        </row>
        <row r="1718">
          <cell r="A1718" t="str">
            <v>46-2001323</v>
          </cell>
          <cell r="B1718" t="str">
            <v>Cable Tray, Clip-on Support Channel, 1.2m Length</v>
          </cell>
          <cell r="E1718">
            <v>0</v>
          </cell>
          <cell r="G1718">
            <v>0</v>
          </cell>
        </row>
        <row r="1719">
          <cell r="A1719" t="str">
            <v>46-2001324</v>
          </cell>
          <cell r="B1719" t="str">
            <v>UniStrut, 41x41, 5m Length</v>
          </cell>
          <cell r="E1719">
            <v>0</v>
          </cell>
          <cell r="G1719">
            <v>0</v>
          </cell>
        </row>
        <row r="1720">
          <cell r="A1720" t="str">
            <v>46-2001325</v>
          </cell>
          <cell r="B1720" t="str">
            <v>UniStrut, Spring Nut, M8</v>
          </cell>
          <cell r="E1720">
            <v>0</v>
          </cell>
          <cell r="G1720">
            <v>0</v>
          </cell>
        </row>
        <row r="1721">
          <cell r="A1721" t="str">
            <v>46-2001331</v>
          </cell>
          <cell r="B1721" t="str">
            <v>Cable Tray, Joiner Clamp</v>
          </cell>
          <cell r="E1721">
            <v>0</v>
          </cell>
          <cell r="G1721">
            <v>0</v>
          </cell>
        </row>
        <row r="1722">
          <cell r="A1722" t="str">
            <v>46-2001333</v>
          </cell>
          <cell r="B1722" t="str">
            <v>Cable Tray, WWMD, 50x50, 3m Length, 0.5m Wide</v>
          </cell>
          <cell r="E1722">
            <v>0</v>
          </cell>
          <cell r="G1722">
            <v>0</v>
          </cell>
        </row>
        <row r="1723">
          <cell r="A1723" t="str">
            <v>46-2001335</v>
          </cell>
          <cell r="B1723" t="str">
            <v>Cable Tray, WWMD, T-piece, R160, 0.5m Wide</v>
          </cell>
          <cell r="E1723">
            <v>0</v>
          </cell>
          <cell r="G1723">
            <v>0</v>
          </cell>
        </row>
        <row r="1724">
          <cell r="A1724" t="str">
            <v>46-2001339</v>
          </cell>
          <cell r="B1724" t="str">
            <v>Terminal, Lightning Test Inspection</v>
          </cell>
          <cell r="E1724">
            <v>0</v>
          </cell>
          <cell r="G1724">
            <v>0</v>
          </cell>
        </row>
        <row r="1725">
          <cell r="A1725" t="str">
            <v>46-2001530</v>
          </cell>
          <cell r="B1725" t="str">
            <v>PV Mounting, Rail Clamp, 40mm</v>
          </cell>
          <cell r="E1725">
            <v>11.46</v>
          </cell>
          <cell r="G1725">
            <v>470</v>
          </cell>
        </row>
        <row r="1726">
          <cell r="A1726" t="str">
            <v>46-2001531</v>
          </cell>
          <cell r="B1726" t="str">
            <v>PV Mounting, Hanger Bolt M10*200mm</v>
          </cell>
          <cell r="E1726">
            <v>5.7927099999999996</v>
          </cell>
          <cell r="G1726">
            <v>1803</v>
          </cell>
        </row>
        <row r="1727">
          <cell r="A1727" t="str">
            <v>46-2001532</v>
          </cell>
          <cell r="B1727" t="str">
            <v>PV Mounting, Bolt, Hanger, Wood, M10x200mm</v>
          </cell>
          <cell r="E1727">
            <v>5.34605</v>
          </cell>
          <cell r="G1727">
            <v>1752</v>
          </cell>
        </row>
        <row r="1728">
          <cell r="A1728" t="str">
            <v>46-2001728</v>
          </cell>
          <cell r="B1728" t="str">
            <v>Enclosure, M.Steel, 400x300x200, IP65, Grey</v>
          </cell>
          <cell r="E1728">
            <v>0</v>
          </cell>
          <cell r="G1728">
            <v>0</v>
          </cell>
        </row>
        <row r="1729">
          <cell r="A1729" t="str">
            <v>46-2001731</v>
          </cell>
          <cell r="B1729" t="str">
            <v>PV Mounting, C100, Beam, 1582mm</v>
          </cell>
          <cell r="E1729">
            <v>0</v>
          </cell>
          <cell r="G1729">
            <v>98</v>
          </cell>
        </row>
        <row r="1730">
          <cell r="A1730" t="str">
            <v>46-2001732</v>
          </cell>
          <cell r="B1730" t="str">
            <v>PV Mounting, C80, Beam</v>
          </cell>
          <cell r="E1730">
            <v>0</v>
          </cell>
          <cell r="G1730">
            <v>98</v>
          </cell>
        </row>
        <row r="1731">
          <cell r="A1731" t="str">
            <v>46-2001733</v>
          </cell>
          <cell r="B1731" t="str">
            <v>PV Mounting, C80, Rail</v>
          </cell>
          <cell r="E1731">
            <v>0</v>
          </cell>
          <cell r="G1731">
            <v>196</v>
          </cell>
        </row>
        <row r="1732">
          <cell r="A1732" t="str">
            <v>46-2001734</v>
          </cell>
          <cell r="B1732" t="str">
            <v>PV Mounting, C60, Side brace</v>
          </cell>
          <cell r="E1732">
            <v>0</v>
          </cell>
          <cell r="G1732">
            <v>98</v>
          </cell>
        </row>
        <row r="1733">
          <cell r="A1733" t="str">
            <v>46-2001735</v>
          </cell>
          <cell r="B1733" t="str">
            <v>PV Mounting, Splice Connector</v>
          </cell>
          <cell r="E1733">
            <v>0</v>
          </cell>
          <cell r="G1733">
            <v>168</v>
          </cell>
        </row>
        <row r="1734">
          <cell r="A1734" t="str">
            <v>46-2001736</v>
          </cell>
          <cell r="B1734" t="str">
            <v>PV Mounting, Rail Clamp</v>
          </cell>
          <cell r="E1734">
            <v>0</v>
          </cell>
          <cell r="G1734">
            <v>392</v>
          </cell>
        </row>
        <row r="1735">
          <cell r="A1735" t="str">
            <v>46-2001737</v>
          </cell>
          <cell r="B1735" t="str">
            <v>PV Mounting, End Clamp, 30mm</v>
          </cell>
          <cell r="E1735">
            <v>0</v>
          </cell>
          <cell r="G1735">
            <v>56</v>
          </cell>
        </row>
        <row r="1736">
          <cell r="A1736" t="str">
            <v>46-2001738</v>
          </cell>
          <cell r="B1736" t="str">
            <v>PV Mounting, Inter Clamp, 30mm</v>
          </cell>
          <cell r="E1736">
            <v>0</v>
          </cell>
          <cell r="G1736">
            <v>812</v>
          </cell>
        </row>
        <row r="1737">
          <cell r="A1737" t="str">
            <v>46-2001739</v>
          </cell>
          <cell r="B1737" t="str">
            <v>PV Mounting, U Steel 41x21</v>
          </cell>
          <cell r="E1737">
            <v>0</v>
          </cell>
          <cell r="G1737">
            <v>98</v>
          </cell>
        </row>
        <row r="1738">
          <cell r="A1738" t="str">
            <v>46-2001742</v>
          </cell>
          <cell r="B1738" t="str">
            <v>PV Mounting, Ground Screw 76x1600mm Q235B</v>
          </cell>
          <cell r="E1738">
            <v>0</v>
          </cell>
          <cell r="G1738">
            <v>196</v>
          </cell>
        </row>
        <row r="1739">
          <cell r="A1739" t="str">
            <v>46-2001743</v>
          </cell>
          <cell r="B1739" t="str">
            <v>PV Mounting, Cable Clips</v>
          </cell>
          <cell r="E1739">
            <v>0</v>
          </cell>
          <cell r="G1739">
            <v>33276</v>
          </cell>
        </row>
        <row r="1740">
          <cell r="A1740" t="str">
            <v>46-2001770</v>
          </cell>
          <cell r="B1740" t="str">
            <v>Enclosure, paddlock lever</v>
          </cell>
          <cell r="E1740">
            <v>0</v>
          </cell>
          <cell r="G1740">
            <v>0</v>
          </cell>
        </row>
        <row r="1741">
          <cell r="A1741" t="str">
            <v>46-2001771</v>
          </cell>
          <cell r="B1741" t="str">
            <v>Enclosure, M.Steel, 800x600x260, IP65, Grey</v>
          </cell>
          <cell r="E1741">
            <v>0</v>
          </cell>
          <cell r="G1741">
            <v>0</v>
          </cell>
        </row>
        <row r="1742">
          <cell r="A1742" t="str">
            <v>46-2001793</v>
          </cell>
          <cell r="B1742" t="str">
            <v>PV Mounting, Rail AL6005-T5 3200mm</v>
          </cell>
          <cell r="E1742">
            <v>207.31</v>
          </cell>
          <cell r="G1742">
            <v>258</v>
          </cell>
        </row>
        <row r="1743">
          <cell r="A1743" t="str">
            <v>46-2001800</v>
          </cell>
          <cell r="B1743" t="str">
            <v>PV Mounting, C100, Beam, 453mm</v>
          </cell>
          <cell r="E1743">
            <v>0</v>
          </cell>
          <cell r="G1743">
            <v>98</v>
          </cell>
        </row>
        <row r="1744">
          <cell r="A1744" t="str">
            <v>46-2001801</v>
          </cell>
          <cell r="B1744" t="str">
            <v>PV Mounting, End Clamp Kit</v>
          </cell>
          <cell r="E1744">
            <v>12.42</v>
          </cell>
          <cell r="G1744">
            <v>1021</v>
          </cell>
        </row>
        <row r="1745">
          <cell r="A1745" t="str">
            <v>46-2001802</v>
          </cell>
          <cell r="B1745" t="str">
            <v>PV Mounting, Front Panel, Leg Frame</v>
          </cell>
          <cell r="E1745">
            <v>14.33</v>
          </cell>
          <cell r="G1745">
            <v>512</v>
          </cell>
        </row>
        <row r="1746">
          <cell r="A1746" t="str">
            <v>46-2001803</v>
          </cell>
          <cell r="B1746" t="str">
            <v>PV Mounting, Rear Panel, Leg Flange</v>
          </cell>
          <cell r="E1746">
            <v>64.489999999999995</v>
          </cell>
          <cell r="G1746">
            <v>512</v>
          </cell>
        </row>
        <row r="1747">
          <cell r="A1747" t="str">
            <v>46-2001804</v>
          </cell>
          <cell r="B1747" t="str">
            <v>PV Mounting, Flange</v>
          </cell>
          <cell r="E1747">
            <v>7.64</v>
          </cell>
          <cell r="G1747">
            <v>770</v>
          </cell>
        </row>
        <row r="1748">
          <cell r="A1748" t="str">
            <v>46-2001805</v>
          </cell>
          <cell r="B1748" t="str">
            <v>PV Mounting, Wind Shield</v>
          </cell>
          <cell r="E1748">
            <v>133.51</v>
          </cell>
          <cell r="G1748">
            <v>534</v>
          </cell>
        </row>
        <row r="1749">
          <cell r="A1749" t="str">
            <v>46-2001933</v>
          </cell>
          <cell r="B1749" t="str">
            <v>PV Mounting, Pole Base Screw</v>
          </cell>
          <cell r="E1749">
            <v>0</v>
          </cell>
          <cell r="G1749">
            <v>0</v>
          </cell>
        </row>
        <row r="1750">
          <cell r="A1750" t="str">
            <v>46-2002052</v>
          </cell>
          <cell r="B1750" t="str">
            <v>Insulator, H25mm, M6, Black</v>
          </cell>
          <cell r="E1750">
            <v>26.4</v>
          </cell>
          <cell r="G1750">
            <v>1</v>
          </cell>
        </row>
        <row r="1751">
          <cell r="A1751" t="str">
            <v>46-2002054</v>
          </cell>
          <cell r="B1751" t="str">
            <v>Busbar, 20x5mm, M6, 1000mm, Copper</v>
          </cell>
          <cell r="E1751">
            <v>572</v>
          </cell>
          <cell r="G1751">
            <v>3</v>
          </cell>
        </row>
        <row r="1752">
          <cell r="A1752" t="str">
            <v>46-2002059</v>
          </cell>
          <cell r="B1752" t="str">
            <v>Insulator, H30mm, M8, Black</v>
          </cell>
          <cell r="E1752">
            <v>46.75</v>
          </cell>
          <cell r="G1752">
            <v>4</v>
          </cell>
        </row>
        <row r="1753">
          <cell r="A1753" t="str">
            <v>46-2002061</v>
          </cell>
          <cell r="B1753" t="str">
            <v>Busbar, 30x10mm, M8, 1000mm, Copper</v>
          </cell>
          <cell r="E1753">
            <v>1749</v>
          </cell>
          <cell r="G1753">
            <v>6</v>
          </cell>
        </row>
        <row r="1754">
          <cell r="A1754" t="str">
            <v>46-2390007</v>
          </cell>
          <cell r="B1754" t="str">
            <v>DIN-PROFILE-175</v>
          </cell>
          <cell r="E1754">
            <v>59.4</v>
          </cell>
          <cell r="G1754">
            <v>0</v>
          </cell>
        </row>
        <row r="1755">
          <cell r="A1755" t="str">
            <v>46-2390031</v>
          </cell>
          <cell r="B1755" t="str">
            <v>STANDOFF M3X8 FF</v>
          </cell>
          <cell r="E1755">
            <v>1.8</v>
          </cell>
          <cell r="G1755">
            <v>1650</v>
          </cell>
        </row>
        <row r="1756">
          <cell r="A1756" t="str">
            <v>46-2390032</v>
          </cell>
          <cell r="B1756" t="str">
            <v>STANDOFF M3X30, F-F</v>
          </cell>
          <cell r="E1756">
            <v>7.36</v>
          </cell>
          <cell r="G1756">
            <v>175</v>
          </cell>
        </row>
        <row r="1757">
          <cell r="A1757" t="str">
            <v>46-2390033</v>
          </cell>
          <cell r="B1757" t="str">
            <v>STAND-OFF, M3X30, M-F</v>
          </cell>
          <cell r="E1757">
            <v>5.7956099999999999</v>
          </cell>
          <cell r="G1757">
            <v>5246</v>
          </cell>
        </row>
        <row r="1758">
          <cell r="A1758" t="str">
            <v>48-1000382</v>
          </cell>
          <cell r="B1758" t="str">
            <v>PACKAGING BOX, 1250X800X230</v>
          </cell>
          <cell r="E1758">
            <v>144.14085</v>
          </cell>
          <cell r="G1758">
            <v>518</v>
          </cell>
        </row>
        <row r="1759">
          <cell r="A1759" t="str">
            <v>48-1000383</v>
          </cell>
          <cell r="B1759" t="str">
            <v>PACKAGING BOX, 1010X570X220</v>
          </cell>
          <cell r="E1759">
            <v>101.84284</v>
          </cell>
          <cell r="G1759">
            <v>1746</v>
          </cell>
        </row>
        <row r="1760">
          <cell r="A1760" t="str">
            <v>48-1000385</v>
          </cell>
          <cell r="B1760" t="str">
            <v>Packaging Box, 300x300x200</v>
          </cell>
          <cell r="E1760">
            <v>79.097520000000003</v>
          </cell>
          <cell r="G1760">
            <v>1181</v>
          </cell>
        </row>
        <row r="1761">
          <cell r="A1761" t="str">
            <v>48-1000400</v>
          </cell>
          <cell r="B1761" t="str">
            <v>PACKAGING, PROTECTIVE SLEEVE, LARGE</v>
          </cell>
          <cell r="E1761">
            <v>13</v>
          </cell>
          <cell r="G1761">
            <v>0</v>
          </cell>
        </row>
        <row r="1762">
          <cell r="A1762" t="str">
            <v>48-1000539</v>
          </cell>
          <cell r="B1762" t="str">
            <v>PACKAGING, VOLTA 500</v>
          </cell>
          <cell r="E1762">
            <v>51.761150000000001</v>
          </cell>
          <cell r="G1762">
            <v>5582</v>
          </cell>
        </row>
        <row r="1763">
          <cell r="A1763" t="str">
            <v>48-1000562</v>
          </cell>
          <cell r="B1763" t="str">
            <v>PACKAGING, BATTERY PACK 499x386x145</v>
          </cell>
          <cell r="E1763">
            <v>56.339109999999998</v>
          </cell>
          <cell r="G1763">
            <v>589</v>
          </cell>
        </row>
        <row r="1764">
          <cell r="A1764" t="str">
            <v>48-1000655</v>
          </cell>
          <cell r="B1764" t="str">
            <v>PACKAGING BOX, TYPE B</v>
          </cell>
          <cell r="E1764">
            <v>0</v>
          </cell>
          <cell r="G1764">
            <v>0</v>
          </cell>
        </row>
        <row r="1765">
          <cell r="A1765" t="str">
            <v>48-1000656</v>
          </cell>
          <cell r="B1765" t="str">
            <v>PACKAGING BOX, TYPE A</v>
          </cell>
          <cell r="E1765">
            <v>0</v>
          </cell>
          <cell r="G1765">
            <v>0</v>
          </cell>
        </row>
        <row r="1766">
          <cell r="A1766" t="str">
            <v>48-1000720</v>
          </cell>
          <cell r="B1766" t="str">
            <v>PACKAGING, PROTECTIVE SLEEVE, 235X140</v>
          </cell>
          <cell r="E1766">
            <v>1282.3599999999999</v>
          </cell>
          <cell r="G1766">
            <v>21</v>
          </cell>
        </row>
        <row r="1767">
          <cell r="A1767" t="str">
            <v>48-1000729</v>
          </cell>
          <cell r="B1767" t="str">
            <v>Drill Template, Faraday-Akira</v>
          </cell>
          <cell r="E1767">
            <v>25</v>
          </cell>
          <cell r="G1767">
            <v>0</v>
          </cell>
        </row>
        <row r="1768">
          <cell r="A1768" t="str">
            <v>48-1000741</v>
          </cell>
          <cell r="B1768" t="str">
            <v>PACKAGING, PROTECTIVE SLEEVE, 600(W)X700(L)</v>
          </cell>
          <cell r="E1768">
            <v>0</v>
          </cell>
          <cell r="G1768">
            <v>0</v>
          </cell>
        </row>
        <row r="1769">
          <cell r="A1769" t="str">
            <v>48-1000768</v>
          </cell>
          <cell r="B1769" t="str">
            <v>PACKAGING, VOLTA 500, TRAY</v>
          </cell>
          <cell r="E1769">
            <v>52.027630000000002</v>
          </cell>
          <cell r="G1769">
            <v>6068</v>
          </cell>
        </row>
        <row r="1770">
          <cell r="A1770" t="str">
            <v>48-1000769</v>
          </cell>
          <cell r="B1770" t="str">
            <v>PACKAGING, VOLTA 500, FOAM INSERT A</v>
          </cell>
          <cell r="E1770">
            <v>76.040700000000001</v>
          </cell>
          <cell r="G1770">
            <v>3626</v>
          </cell>
        </row>
        <row r="1771">
          <cell r="A1771" t="str">
            <v>48-1000770</v>
          </cell>
          <cell r="B1771" t="str">
            <v>PACKAGING, VOLTA 500, FOAM INSERT B</v>
          </cell>
          <cell r="E1771">
            <v>82.19</v>
          </cell>
          <cell r="G1771">
            <v>7351</v>
          </cell>
        </row>
        <row r="1772">
          <cell r="A1772" t="str">
            <v>48-1000884</v>
          </cell>
          <cell r="B1772" t="str">
            <v>PACKAGING, BENZ</v>
          </cell>
          <cell r="E1772">
            <v>91.220299999999995</v>
          </cell>
          <cell r="G1772">
            <v>0</v>
          </cell>
        </row>
        <row r="1773">
          <cell r="A1773" t="str">
            <v>48-1001198</v>
          </cell>
          <cell r="B1773" t="str">
            <v>Packaging, Volta700X</v>
          </cell>
          <cell r="E1773">
            <v>0</v>
          </cell>
          <cell r="G1773">
            <v>0</v>
          </cell>
        </row>
        <row r="1774">
          <cell r="A1774" t="str">
            <v>48-1001199</v>
          </cell>
          <cell r="B1774" t="str">
            <v>Packaging, Volta700X, Foam Insert</v>
          </cell>
          <cell r="E1774">
            <v>0</v>
          </cell>
          <cell r="G1774">
            <v>0</v>
          </cell>
        </row>
        <row r="1775">
          <cell r="A1775" t="str">
            <v>48-1001248</v>
          </cell>
          <cell r="B1775" t="str">
            <v>Packaging, Cardboard, Double wall, 1260x1060x220, Brown</v>
          </cell>
          <cell r="E1775">
            <v>198.16</v>
          </cell>
          <cell r="G1775">
            <v>1237</v>
          </cell>
        </row>
        <row r="1776">
          <cell r="A1776" t="str">
            <v>48-1001401</v>
          </cell>
          <cell r="B1776" t="str">
            <v>Packaging, Battery Pack, Printed</v>
          </cell>
          <cell r="E1776">
            <v>94.508470000000003</v>
          </cell>
          <cell r="G1776">
            <v>2998</v>
          </cell>
        </row>
        <row r="1777">
          <cell r="A1777" t="str">
            <v>48-1001402</v>
          </cell>
          <cell r="B1777" t="str">
            <v>Packaging, Foam Insert, Battery Pack, Type A</v>
          </cell>
          <cell r="E1777">
            <v>3935.3418200000001</v>
          </cell>
          <cell r="G1777">
            <v>52</v>
          </cell>
        </row>
        <row r="1778">
          <cell r="A1778" t="str">
            <v>48-1001403</v>
          </cell>
          <cell r="B1778" t="str">
            <v>Packaging, Foam Insert, Battery Pack, Type B</v>
          </cell>
          <cell r="E1778">
            <v>3967.6981799999999</v>
          </cell>
          <cell r="G1778">
            <v>0</v>
          </cell>
        </row>
        <row r="1779">
          <cell r="A1779" t="str">
            <v>48-1001519</v>
          </cell>
          <cell r="B1779" t="str">
            <v>Drill Template, Enclosure, small</v>
          </cell>
          <cell r="E1779">
            <v>0</v>
          </cell>
          <cell r="G1779">
            <v>0</v>
          </cell>
        </row>
        <row r="1780">
          <cell r="A1780" t="str">
            <v>48-1001525</v>
          </cell>
          <cell r="B1780" t="str">
            <v xml:space="preserve">Faraday 6K, Inverter support foam </v>
          </cell>
          <cell r="E1780">
            <v>0</v>
          </cell>
          <cell r="G1780">
            <v>0</v>
          </cell>
        </row>
        <row r="1781">
          <cell r="A1781" t="str">
            <v>48-1001768</v>
          </cell>
          <cell r="B1781" t="str">
            <v>Packaging, Cardboard, Double wall, 500x250x150, Brown</v>
          </cell>
          <cell r="E1781">
            <v>77.8</v>
          </cell>
          <cell r="G1781">
            <v>610</v>
          </cell>
        </row>
        <row r="1782">
          <cell r="A1782" t="str">
            <v>48-1001840</v>
          </cell>
          <cell r="B1782" t="str">
            <v>Packaging Box, 1950x770x125</v>
          </cell>
          <cell r="E1782">
            <v>196.2</v>
          </cell>
          <cell r="G1782">
            <v>480</v>
          </cell>
        </row>
        <row r="1783">
          <cell r="A1783" t="str">
            <v>48-1002069</v>
          </cell>
          <cell r="B1783" t="str">
            <v>Packaging, Foam Insert, Battery Pack, Type C</v>
          </cell>
          <cell r="E1783">
            <v>0</v>
          </cell>
          <cell r="G1783">
            <v>0</v>
          </cell>
        </row>
        <row r="1784">
          <cell r="A1784" t="str">
            <v>48-2000873</v>
          </cell>
          <cell r="B1784" t="str">
            <v>Packaging, Plastic Bag, 65x80mm, Minigrip, Clear</v>
          </cell>
          <cell r="E1784">
            <v>0.20038</v>
          </cell>
          <cell r="G1784">
            <v>0</v>
          </cell>
        </row>
        <row r="1785">
          <cell r="A1785" t="str">
            <v>48-2000875</v>
          </cell>
          <cell r="B1785" t="str">
            <v>Packaging, Plastic Bag, 100x150mm, Minigrip, Clear</v>
          </cell>
          <cell r="E1785">
            <v>0.38080000000000003</v>
          </cell>
          <cell r="G1785">
            <v>0</v>
          </cell>
        </row>
        <row r="1786">
          <cell r="A1786" t="str">
            <v>48-2000880</v>
          </cell>
          <cell r="B1786" t="str">
            <v>Packaging, Plastic Bag, 215x315mm, Minigrip, Clear</v>
          </cell>
          <cell r="E1786">
            <v>0.67800000000000005</v>
          </cell>
          <cell r="G1786">
            <v>4300</v>
          </cell>
        </row>
        <row r="1787">
          <cell r="A1787" t="str">
            <v>48-2000881</v>
          </cell>
          <cell r="B1787" t="str">
            <v>ROLL, AEROTHENE FOAM, 3MM</v>
          </cell>
          <cell r="E1787">
            <v>15.15333</v>
          </cell>
          <cell r="G1787">
            <v>0</v>
          </cell>
        </row>
        <row r="1788">
          <cell r="A1788" t="str">
            <v>48-2000952</v>
          </cell>
          <cell r="B1788" t="str">
            <v>PET, 250mic, Clear</v>
          </cell>
          <cell r="E1788">
            <v>15.456670000000001</v>
          </cell>
          <cell r="G1788">
            <v>5544</v>
          </cell>
        </row>
        <row r="1789">
          <cell r="A1789" t="str">
            <v>48-2001694</v>
          </cell>
          <cell r="B1789" t="str">
            <v xml:space="preserve"> Airothene Foam, Roll, 130mm</v>
          </cell>
          <cell r="E1789">
            <v>160.5</v>
          </cell>
          <cell r="G1789">
            <v>418</v>
          </cell>
        </row>
        <row r="1790">
          <cell r="A1790" t="str">
            <v>48-2001695</v>
          </cell>
          <cell r="B1790" t="str">
            <v xml:space="preserve"> Airothene Foam, Roll, 440mm</v>
          </cell>
          <cell r="E1790">
            <v>159.06974</v>
          </cell>
          <cell r="G1790">
            <v>22</v>
          </cell>
        </row>
        <row r="1791">
          <cell r="A1791" t="str">
            <v>48-2001697</v>
          </cell>
          <cell r="B1791" t="str">
            <v xml:space="preserve"> Airothene Foam, Roll, 170mm</v>
          </cell>
          <cell r="E1791">
            <v>159.06997999999999</v>
          </cell>
          <cell r="G1791">
            <v>0</v>
          </cell>
        </row>
        <row r="1792">
          <cell r="A1792" t="str">
            <v>49-1000009</v>
          </cell>
          <cell r="B1792" t="str">
            <v>LABEL, USB</v>
          </cell>
          <cell r="E1792">
            <v>3.0607099999999998</v>
          </cell>
          <cell r="G1792">
            <v>2663</v>
          </cell>
        </row>
        <row r="1793">
          <cell r="A1793" t="str">
            <v>49-1000010</v>
          </cell>
          <cell r="B1793" t="str">
            <v>LABEL, MAIN, VOLTA 500</v>
          </cell>
          <cell r="E1793">
            <v>10.593019999999999</v>
          </cell>
          <cell r="G1793">
            <v>3077</v>
          </cell>
        </row>
        <row r="1794">
          <cell r="A1794" t="str">
            <v>49-1000015</v>
          </cell>
          <cell r="B1794" t="str">
            <v>LABEL, REAR PANEL, VOLTA 500</v>
          </cell>
          <cell r="E1794">
            <v>8.5831099999999996</v>
          </cell>
          <cell r="G1794">
            <v>2604</v>
          </cell>
        </row>
        <row r="1795">
          <cell r="A1795" t="str">
            <v>49-1000274</v>
          </cell>
          <cell r="B1795" t="str">
            <v>LABEL, QR CODE</v>
          </cell>
          <cell r="E1795">
            <v>0</v>
          </cell>
          <cell r="G1795">
            <v>0</v>
          </cell>
        </row>
        <row r="1796">
          <cell r="A1796" t="str">
            <v>49-1000315</v>
          </cell>
          <cell r="B1796" t="str">
            <v>LABEL, CABLE IDENTIFICATION</v>
          </cell>
          <cell r="E1796">
            <v>5.9745799999999996</v>
          </cell>
          <cell r="G1796">
            <v>261</v>
          </cell>
        </row>
        <row r="1797">
          <cell r="A1797" t="str">
            <v>49-1000341</v>
          </cell>
          <cell r="B1797" t="str">
            <v>Label, Cable Identification, Small</v>
          </cell>
          <cell r="E1797">
            <v>2.7794099999999999</v>
          </cell>
          <cell r="G1797">
            <v>0</v>
          </cell>
        </row>
        <row r="1798">
          <cell r="A1798" t="str">
            <v>49-1000365</v>
          </cell>
          <cell r="B1798" t="str">
            <v>LABEL, MAIN, AKIRA</v>
          </cell>
          <cell r="E1798">
            <v>10.142200000000001</v>
          </cell>
          <cell r="G1798">
            <v>580</v>
          </cell>
        </row>
        <row r="1799">
          <cell r="A1799" t="str">
            <v>49-1000366</v>
          </cell>
          <cell r="B1799" t="str">
            <v>LABEL, MAIN, FARADAY</v>
          </cell>
          <cell r="E1799">
            <v>10.114129999999999</v>
          </cell>
          <cell r="G1799">
            <v>544</v>
          </cell>
        </row>
        <row r="1800">
          <cell r="A1800" t="str">
            <v>49-1000367</v>
          </cell>
          <cell r="B1800" t="str">
            <v>LABEL, MAIN, VOLTA 2K</v>
          </cell>
          <cell r="E1800">
            <v>8.3793000000000006</v>
          </cell>
          <cell r="G1800">
            <v>2161</v>
          </cell>
        </row>
        <row r="1801">
          <cell r="A1801" t="str">
            <v>49-1000368</v>
          </cell>
          <cell r="B1801" t="str">
            <v>Label, Faraday, DB Faceplate</v>
          </cell>
          <cell r="E1801">
            <v>135.46</v>
          </cell>
          <cell r="G1801">
            <v>626</v>
          </cell>
        </row>
        <row r="1802">
          <cell r="A1802" t="str">
            <v>49-1000369</v>
          </cell>
          <cell r="B1802" t="str">
            <v>LABEL, VOLTA 2K, DB FACEPLATE</v>
          </cell>
          <cell r="E1802">
            <v>138.30266</v>
          </cell>
          <cell r="G1802">
            <v>1445</v>
          </cell>
        </row>
        <row r="1803">
          <cell r="A1803" t="str">
            <v>49-1000372</v>
          </cell>
          <cell r="B1803" t="str">
            <v>Label, Warning, Shock Hazard</v>
          </cell>
          <cell r="E1803">
            <v>0</v>
          </cell>
          <cell r="G1803">
            <v>0</v>
          </cell>
        </row>
        <row r="1804">
          <cell r="A1804" t="str">
            <v>49-1000444</v>
          </cell>
          <cell r="B1804" t="str">
            <v>LABEL, QR CODE (SW)</v>
          </cell>
          <cell r="E1804">
            <v>0</v>
          </cell>
          <cell r="G1804">
            <v>0</v>
          </cell>
        </row>
        <row r="1805">
          <cell r="A1805" t="str">
            <v>49-1000561</v>
          </cell>
          <cell r="B1805" t="str">
            <v>LABEL, MAIN, B48 BATTERY PACK</v>
          </cell>
          <cell r="E1805">
            <v>9.5359499999999997</v>
          </cell>
          <cell r="G1805">
            <v>1648</v>
          </cell>
        </row>
        <row r="1806">
          <cell r="A1806" t="str">
            <v>49-1000666</v>
          </cell>
          <cell r="B1806" t="str">
            <v>LABEL, FARADAY 6K, DB FACEPLATE</v>
          </cell>
          <cell r="E1806">
            <v>10.65</v>
          </cell>
          <cell r="G1806">
            <v>8</v>
          </cell>
        </row>
        <row r="1807">
          <cell r="A1807" t="str">
            <v>49-1000667</v>
          </cell>
          <cell r="B1807" t="str">
            <v>LABEL, MAIN, FARADAY 6K</v>
          </cell>
          <cell r="E1807">
            <v>23.15</v>
          </cell>
          <cell r="G1807">
            <v>16</v>
          </cell>
        </row>
        <row r="1808">
          <cell r="A1808" t="str">
            <v>49-1000747</v>
          </cell>
          <cell r="B1808" t="str">
            <v>LABEL, SERIAL, 30X10MM</v>
          </cell>
          <cell r="E1808">
            <v>0.41382000000000002</v>
          </cell>
          <cell r="G1808">
            <v>0</v>
          </cell>
        </row>
        <row r="1809">
          <cell r="A1809" t="str">
            <v>49-1000870</v>
          </cell>
          <cell r="B1809" t="str">
            <v>LABEL, VOLTA 6K, DB FACEPLATE</v>
          </cell>
          <cell r="E1809">
            <v>145.9</v>
          </cell>
          <cell r="G1809">
            <v>118</v>
          </cell>
        </row>
        <row r="1810">
          <cell r="A1810" t="str">
            <v>49-1000885</v>
          </cell>
          <cell r="B1810" t="str">
            <v>Label, AC-IN Inv 1</v>
          </cell>
          <cell r="E1810">
            <v>0</v>
          </cell>
          <cell r="G1810">
            <v>0</v>
          </cell>
        </row>
        <row r="1811">
          <cell r="A1811" t="str">
            <v>49-1000887</v>
          </cell>
          <cell r="B1811" t="str">
            <v>Label, AC-OUT Inv 1</v>
          </cell>
          <cell r="E1811">
            <v>0</v>
          </cell>
          <cell r="G1811">
            <v>0</v>
          </cell>
        </row>
        <row r="1812">
          <cell r="A1812" t="str">
            <v>49-1000960</v>
          </cell>
          <cell r="B1812" t="str">
            <v>Label, Serial, 13x11</v>
          </cell>
          <cell r="E1812">
            <v>0.20694000000000001</v>
          </cell>
          <cell r="G1812">
            <v>0</v>
          </cell>
        </row>
        <row r="1813">
          <cell r="A1813" t="str">
            <v>49-1000963</v>
          </cell>
          <cell r="B1813" t="str">
            <v>LABEL, GENERIC, 30X10MM</v>
          </cell>
          <cell r="E1813">
            <v>0.41295999999999999</v>
          </cell>
          <cell r="G1813">
            <v>0</v>
          </cell>
        </row>
        <row r="1814">
          <cell r="A1814" t="str">
            <v>49-1000969</v>
          </cell>
          <cell r="B1814" t="str">
            <v>LABEL, MAIN, VOLTA 6K</v>
          </cell>
          <cell r="E1814">
            <v>13.05</v>
          </cell>
          <cell r="G1814">
            <v>84</v>
          </cell>
        </row>
        <row r="1815">
          <cell r="A1815" t="str">
            <v>49-1000999</v>
          </cell>
          <cell r="B1815" t="str">
            <v>LABEL, MAIN, VOLTA 3K</v>
          </cell>
          <cell r="E1815">
            <v>8.1066699999999994</v>
          </cell>
          <cell r="G1815">
            <v>457</v>
          </cell>
        </row>
        <row r="1816">
          <cell r="A1816" t="str">
            <v>49-1001032</v>
          </cell>
          <cell r="B1816" t="str">
            <v>LABEL, AC IN</v>
          </cell>
          <cell r="E1816">
            <v>0.41299999999999998</v>
          </cell>
          <cell r="G1816">
            <v>0</v>
          </cell>
        </row>
        <row r="1817">
          <cell r="A1817" t="str">
            <v>49-1001033</v>
          </cell>
          <cell r="B1817" t="str">
            <v>LABEL, AC OUT</v>
          </cell>
          <cell r="E1817">
            <v>5.7210000000000001</v>
          </cell>
          <cell r="G1817">
            <v>0</v>
          </cell>
        </row>
        <row r="1818">
          <cell r="A1818" t="str">
            <v>49-1001034</v>
          </cell>
          <cell r="B1818" t="str">
            <v>Label, Essential</v>
          </cell>
          <cell r="E1818">
            <v>3.75</v>
          </cell>
          <cell r="G1818">
            <v>0</v>
          </cell>
        </row>
        <row r="1819">
          <cell r="A1819" t="str">
            <v>49-1001035</v>
          </cell>
          <cell r="B1819" t="str">
            <v>Label, Non-Essential</v>
          </cell>
          <cell r="E1819">
            <v>3.75</v>
          </cell>
          <cell r="G1819">
            <v>0</v>
          </cell>
        </row>
        <row r="1820">
          <cell r="A1820" t="str">
            <v>49-1001036</v>
          </cell>
          <cell r="B1820" t="str">
            <v>Label, Inverter 1, In</v>
          </cell>
          <cell r="E1820">
            <v>0.41286</v>
          </cell>
          <cell r="G1820">
            <v>0</v>
          </cell>
        </row>
        <row r="1821">
          <cell r="A1821" t="str">
            <v>49-1001037</v>
          </cell>
          <cell r="B1821" t="str">
            <v>Label, Inverter 1, Out</v>
          </cell>
          <cell r="E1821">
            <v>0.41286</v>
          </cell>
          <cell r="G1821">
            <v>0</v>
          </cell>
        </row>
        <row r="1822">
          <cell r="A1822" t="str">
            <v>49-1001038</v>
          </cell>
          <cell r="B1822" t="str">
            <v>Label, Inverter 2, In</v>
          </cell>
          <cell r="E1822">
            <v>0.41286</v>
          </cell>
          <cell r="G1822">
            <v>0</v>
          </cell>
        </row>
        <row r="1823">
          <cell r="A1823" t="str">
            <v>49-1001039</v>
          </cell>
          <cell r="B1823" t="str">
            <v>Label, Inverter 2, Out</v>
          </cell>
          <cell r="E1823">
            <v>0.41286</v>
          </cell>
          <cell r="G1823">
            <v>0</v>
          </cell>
        </row>
        <row r="1824">
          <cell r="A1824" t="str">
            <v>49-1001040</v>
          </cell>
          <cell r="B1824" t="str">
            <v>LABEL, EARTH</v>
          </cell>
          <cell r="E1824">
            <v>2.0019</v>
          </cell>
          <cell r="G1824">
            <v>0</v>
          </cell>
        </row>
        <row r="1825">
          <cell r="A1825" t="str">
            <v>49-1001126</v>
          </cell>
          <cell r="B1825" t="str">
            <v>Label, Marconi Connect, Label 1</v>
          </cell>
          <cell r="E1825">
            <v>7.6001700000000003</v>
          </cell>
          <cell r="G1825">
            <v>3241</v>
          </cell>
        </row>
        <row r="1826">
          <cell r="A1826" t="str">
            <v>49-1001127</v>
          </cell>
          <cell r="B1826" t="str">
            <v>Label, Marconi Connect, Label 2</v>
          </cell>
          <cell r="E1826">
            <v>8.0054800000000004</v>
          </cell>
          <cell r="G1826">
            <v>3271</v>
          </cell>
        </row>
        <row r="1827">
          <cell r="A1827" t="str">
            <v>49-1001128</v>
          </cell>
          <cell r="B1827" t="str">
            <v>Label, Repono 48, BMS Indicator</v>
          </cell>
          <cell r="E1827">
            <v>24.99643</v>
          </cell>
          <cell r="G1827">
            <v>2074</v>
          </cell>
        </row>
        <row r="1828">
          <cell r="A1828" t="str">
            <v>49-1001129</v>
          </cell>
          <cell r="B1828" t="str">
            <v>Label, Repono 48, Connector Labels</v>
          </cell>
          <cell r="E1828">
            <v>24.988050000000001</v>
          </cell>
          <cell r="G1828">
            <v>2074</v>
          </cell>
        </row>
        <row r="1829">
          <cell r="A1829" t="str">
            <v>49-1001130</v>
          </cell>
          <cell r="B1829" t="str">
            <v>Label, BAT 1</v>
          </cell>
          <cell r="E1829">
            <v>0.2069</v>
          </cell>
          <cell r="G1829">
            <v>0</v>
          </cell>
        </row>
        <row r="1830">
          <cell r="A1830" t="str">
            <v>49-1001131</v>
          </cell>
          <cell r="B1830" t="str">
            <v>Label, BAT 2</v>
          </cell>
          <cell r="E1830">
            <v>0.2069</v>
          </cell>
          <cell r="G1830">
            <v>0</v>
          </cell>
        </row>
        <row r="1831">
          <cell r="A1831" t="str">
            <v>49-1001132</v>
          </cell>
          <cell r="B1831" t="str">
            <v>Label, BAT 3</v>
          </cell>
          <cell r="E1831">
            <v>0.2069</v>
          </cell>
          <cell r="G1831">
            <v>0</v>
          </cell>
        </row>
        <row r="1832">
          <cell r="A1832" t="str">
            <v>49-1001166</v>
          </cell>
          <cell r="B1832" t="str">
            <v>Label, Main, Genoa 5K</v>
          </cell>
          <cell r="E1832">
            <v>7.4</v>
          </cell>
          <cell r="G1832">
            <v>71</v>
          </cell>
        </row>
        <row r="1833">
          <cell r="A1833" t="str">
            <v>49-1001205</v>
          </cell>
          <cell r="B1833" t="str">
            <v>Sign, Notice, Alternative Supply, 190x190mm</v>
          </cell>
          <cell r="E1833">
            <v>37.675640000000001</v>
          </cell>
          <cell r="G1833">
            <v>367</v>
          </cell>
        </row>
        <row r="1834">
          <cell r="A1834" t="str">
            <v>49-1001205-X</v>
          </cell>
          <cell r="B1834" t="str">
            <v>Sign, Notice, Alternative Supply, 190x190mm</v>
          </cell>
          <cell r="E1834">
            <v>37.847439999999999</v>
          </cell>
          <cell r="G1834">
            <v>5</v>
          </cell>
        </row>
        <row r="1835">
          <cell r="A1835" t="str">
            <v>49-1001233</v>
          </cell>
          <cell r="B1835" t="str">
            <v>Label, Genoa 5K, DB Faceplate</v>
          </cell>
          <cell r="E1835">
            <v>173.82857000000001</v>
          </cell>
          <cell r="G1835">
            <v>125</v>
          </cell>
        </row>
        <row r="1836">
          <cell r="A1836" t="str">
            <v>49-1001246</v>
          </cell>
          <cell r="B1836" t="str">
            <v>Label, Faraday 15K, DB Faceplate</v>
          </cell>
          <cell r="E1836">
            <v>181.06923</v>
          </cell>
          <cell r="G1836">
            <v>65</v>
          </cell>
        </row>
        <row r="1837">
          <cell r="A1837" t="str">
            <v>49-1001247</v>
          </cell>
          <cell r="B1837" t="str">
            <v>Label, Main, Faraday 15K</v>
          </cell>
          <cell r="E1837">
            <v>21.907689999999999</v>
          </cell>
          <cell r="G1837">
            <v>65</v>
          </cell>
        </row>
        <row r="1838">
          <cell r="A1838" t="str">
            <v>49-1001249</v>
          </cell>
          <cell r="B1838" t="str">
            <v>Label, Warning, On-site Embedded Generation, Type 1</v>
          </cell>
          <cell r="E1838">
            <v>0</v>
          </cell>
          <cell r="G1838">
            <v>3</v>
          </cell>
        </row>
        <row r="1839">
          <cell r="A1839" t="str">
            <v>49-1001254</v>
          </cell>
          <cell r="B1839" t="str">
            <v>Label, Inverter 3, In</v>
          </cell>
          <cell r="E1839">
            <v>0.41286</v>
          </cell>
          <cell r="G1839">
            <v>0</v>
          </cell>
        </row>
        <row r="1840">
          <cell r="A1840" t="str">
            <v>49-1001255</v>
          </cell>
          <cell r="B1840" t="str">
            <v>Label, Inverter 3, Out</v>
          </cell>
          <cell r="E1840">
            <v>0.41286</v>
          </cell>
          <cell r="G1840">
            <v>0</v>
          </cell>
        </row>
        <row r="1841">
          <cell r="A1841" t="str">
            <v>49-1001256</v>
          </cell>
          <cell r="B1841" t="str">
            <v xml:space="preserve">Label, Master </v>
          </cell>
          <cell r="E1841">
            <v>3.75</v>
          </cell>
          <cell r="G1841">
            <v>0</v>
          </cell>
        </row>
        <row r="1842">
          <cell r="A1842" t="str">
            <v>49-1001257</v>
          </cell>
          <cell r="B1842" t="str">
            <v>Label, Slave</v>
          </cell>
          <cell r="E1842">
            <v>3.75</v>
          </cell>
          <cell r="G1842">
            <v>0</v>
          </cell>
        </row>
        <row r="1843">
          <cell r="A1843" t="str">
            <v>49-1001258</v>
          </cell>
          <cell r="B1843" t="str">
            <v>Label, Batt Com</v>
          </cell>
          <cell r="E1843">
            <v>3.75</v>
          </cell>
          <cell r="G1843">
            <v>0</v>
          </cell>
        </row>
        <row r="1844">
          <cell r="A1844" t="str">
            <v>49-1001280</v>
          </cell>
          <cell r="B1844" t="str">
            <v>Label, Main, Gramme 33K AIO</v>
          </cell>
          <cell r="E1844">
            <v>0</v>
          </cell>
          <cell r="G1844">
            <v>0</v>
          </cell>
        </row>
        <row r="1845">
          <cell r="A1845" t="str">
            <v>49-1001470</v>
          </cell>
          <cell r="B1845" t="str">
            <v>Label, Faraday 15KT, DB Faceplate</v>
          </cell>
          <cell r="E1845">
            <v>172.88946999999999</v>
          </cell>
          <cell r="G1845">
            <v>90</v>
          </cell>
        </row>
        <row r="1846">
          <cell r="A1846" t="str">
            <v>49-1001471</v>
          </cell>
          <cell r="B1846" t="str">
            <v>Label, Main, Faraday 15KT</v>
          </cell>
          <cell r="E1846">
            <v>13.457409999999999</v>
          </cell>
          <cell r="G1846">
            <v>87</v>
          </cell>
        </row>
        <row r="1847">
          <cell r="A1847" t="str">
            <v>49-1001660</v>
          </cell>
          <cell r="B1847" t="str">
            <v>Label, Gramme, Master, Glandplate</v>
          </cell>
          <cell r="E1847">
            <v>84.666499999999999</v>
          </cell>
          <cell r="G1847">
            <v>12</v>
          </cell>
        </row>
        <row r="1848">
          <cell r="A1848" t="str">
            <v>49-1001661</v>
          </cell>
          <cell r="B1848" t="str">
            <v>Label, Gramme, Slave, Glandplate</v>
          </cell>
          <cell r="E1848">
            <v>57.105530000000002</v>
          </cell>
          <cell r="G1848">
            <v>33</v>
          </cell>
        </row>
        <row r="1849">
          <cell r="A1849" t="str">
            <v>49-1001666</v>
          </cell>
          <cell r="B1849" t="str">
            <v>Label, Gramme AIO, Glandplate</v>
          </cell>
          <cell r="E1849">
            <v>64.186670000000007</v>
          </cell>
          <cell r="G1849">
            <v>15</v>
          </cell>
        </row>
        <row r="1850">
          <cell r="A1850" t="str">
            <v>49-1001709</v>
          </cell>
          <cell r="B1850" t="str">
            <v>Label, Stage Zero, Finish Goods</v>
          </cell>
          <cell r="E1850">
            <v>0</v>
          </cell>
          <cell r="G1850">
            <v>0</v>
          </cell>
        </row>
        <row r="1851">
          <cell r="A1851" t="str">
            <v>49-1001710</v>
          </cell>
          <cell r="B1851" t="str">
            <v>Label, Generic, 40X29mm</v>
          </cell>
          <cell r="E1851">
            <v>0</v>
          </cell>
          <cell r="G1851">
            <v>0</v>
          </cell>
        </row>
        <row r="1852">
          <cell r="A1852" t="str">
            <v>49-1001711</v>
          </cell>
          <cell r="B1852" t="str">
            <v>Label, Q-Cabinet, Controller Enclosure, Type A, Front Panel</v>
          </cell>
          <cell r="E1852">
            <v>263.19499999999999</v>
          </cell>
          <cell r="G1852">
            <v>7</v>
          </cell>
        </row>
        <row r="1853">
          <cell r="A1853" t="str">
            <v>49-1001712</v>
          </cell>
          <cell r="B1853" t="str">
            <v>Label, Q-Cabinet, Controller Enclosure, Type A, Rear Panel</v>
          </cell>
          <cell r="E1853">
            <v>44.333329999999997</v>
          </cell>
          <cell r="G1853">
            <v>12</v>
          </cell>
        </row>
        <row r="1854">
          <cell r="A1854" t="str">
            <v>49-1001713</v>
          </cell>
          <cell r="B1854" t="str">
            <v>Label, Sub-DB, Type A, Front Panel, Type A</v>
          </cell>
          <cell r="E1854">
            <v>42.602499999999999</v>
          </cell>
          <cell r="G1854">
            <v>20</v>
          </cell>
        </row>
        <row r="1855">
          <cell r="A1855" t="str">
            <v>49-1001718</v>
          </cell>
          <cell r="B1855" t="str">
            <v>Label, Sub-DB, Type A, Front Panel, Type B</v>
          </cell>
          <cell r="E1855">
            <v>42.602499999999999</v>
          </cell>
          <cell r="G1855">
            <v>20</v>
          </cell>
        </row>
        <row r="1856">
          <cell r="A1856" t="str">
            <v>49-1001719</v>
          </cell>
          <cell r="B1856" t="str">
            <v>Label, Sub-DB, Type A, Front Panel, Type C</v>
          </cell>
          <cell r="E1856">
            <v>0</v>
          </cell>
          <cell r="G1856">
            <v>0</v>
          </cell>
        </row>
        <row r="1857">
          <cell r="A1857" t="str">
            <v>49-1001747</v>
          </cell>
          <cell r="B1857" t="str">
            <v>Label, Grid Metering Box, Type A</v>
          </cell>
          <cell r="E1857">
            <v>42.36</v>
          </cell>
          <cell r="G1857">
            <v>39</v>
          </cell>
        </row>
        <row r="1858">
          <cell r="A1858" t="str">
            <v>49-1001748</v>
          </cell>
          <cell r="B1858" t="str">
            <v>Label, Grid Metering Box, Type B</v>
          </cell>
          <cell r="E1858">
            <v>42.363570000000003</v>
          </cell>
          <cell r="G1858">
            <v>42</v>
          </cell>
        </row>
        <row r="1859">
          <cell r="A1859" t="str">
            <v>49-1001749</v>
          </cell>
          <cell r="B1859" t="str">
            <v>Label, Non-Essential Metering Box, Type A</v>
          </cell>
          <cell r="E1859">
            <v>56.322809999999997</v>
          </cell>
          <cell r="G1859">
            <v>32</v>
          </cell>
        </row>
        <row r="1860">
          <cell r="A1860" t="str">
            <v>49-1001751</v>
          </cell>
          <cell r="B1860" t="str">
            <v>Label, Grid Metering Box, Type C</v>
          </cell>
          <cell r="E1860">
            <v>41.056559999999998</v>
          </cell>
          <cell r="G1860">
            <v>125</v>
          </cell>
        </row>
        <row r="1861">
          <cell r="A1861" t="str">
            <v>49-1001752</v>
          </cell>
          <cell r="B1861" t="str">
            <v>Label, Non-Essential Metering Box, Type B</v>
          </cell>
          <cell r="E1861">
            <v>56.322809999999997</v>
          </cell>
          <cell r="G1861">
            <v>32</v>
          </cell>
        </row>
        <row r="1862">
          <cell r="A1862" t="str">
            <v>49-1001756</v>
          </cell>
          <cell r="B1862" t="str">
            <v xml:space="preserve">Label, PUC, UV Resistant </v>
          </cell>
          <cell r="E1862">
            <v>0</v>
          </cell>
          <cell r="G1862">
            <v>10</v>
          </cell>
        </row>
        <row r="1863">
          <cell r="A1863" t="str">
            <v>49-1001757</v>
          </cell>
          <cell r="B1863" t="str">
            <v xml:space="preserve">Label, SZ Support </v>
          </cell>
          <cell r="E1863">
            <v>73.786249999999995</v>
          </cell>
          <cell r="G1863">
            <v>30</v>
          </cell>
        </row>
        <row r="1864">
          <cell r="A1864" t="str">
            <v>49-1001761</v>
          </cell>
          <cell r="B1864" t="str">
            <v>Label, Q-Cabinet, Controller Enclosure, Type A, AC In</v>
          </cell>
          <cell r="E1864">
            <v>37.833329999999997</v>
          </cell>
          <cell r="G1864">
            <v>12</v>
          </cell>
        </row>
        <row r="1865">
          <cell r="A1865" t="str">
            <v>49-1001766</v>
          </cell>
          <cell r="B1865" t="str">
            <v>Label, Main, Gramme</v>
          </cell>
          <cell r="E1865">
            <v>85.758619999999993</v>
          </cell>
          <cell r="G1865">
            <v>45</v>
          </cell>
        </row>
        <row r="1866">
          <cell r="A1866" t="str">
            <v>49-1001792</v>
          </cell>
          <cell r="B1866" t="str">
            <v>Label, Warning, Fireman Switch</v>
          </cell>
          <cell r="E1866">
            <v>145</v>
          </cell>
          <cell r="G1866">
            <v>31</v>
          </cell>
        </row>
        <row r="1867">
          <cell r="A1867" t="str">
            <v>49-1001823</v>
          </cell>
          <cell r="B1867" t="str">
            <v>Label, Brumath AIO, AC Connection Box, Type A</v>
          </cell>
          <cell r="E1867">
            <v>42.237000000000002</v>
          </cell>
          <cell r="G1867">
            <v>20</v>
          </cell>
        </row>
        <row r="1868">
          <cell r="A1868" t="str">
            <v>49-1001826</v>
          </cell>
          <cell r="B1868" t="str">
            <v>Label, Brumath AIO, Grid Metering Box, Type A</v>
          </cell>
          <cell r="E1868">
            <v>44.679569999999998</v>
          </cell>
          <cell r="G1868">
            <v>23</v>
          </cell>
        </row>
        <row r="1869">
          <cell r="A1869" t="str">
            <v>49-1001829</v>
          </cell>
          <cell r="B1869" t="str">
            <v>Label, Morley Panel, Type A</v>
          </cell>
          <cell r="E1869">
            <v>43.393479999999997</v>
          </cell>
          <cell r="G1869">
            <v>23</v>
          </cell>
        </row>
        <row r="1870">
          <cell r="A1870" t="str">
            <v>49-1001941</v>
          </cell>
          <cell r="B1870" t="str">
            <v>Label, Main, Genoa 3KG2</v>
          </cell>
          <cell r="E1870">
            <v>0</v>
          </cell>
          <cell r="G1870">
            <v>0</v>
          </cell>
        </row>
        <row r="1871">
          <cell r="A1871" t="str">
            <v>49-1001942</v>
          </cell>
          <cell r="B1871" t="str">
            <v>Label, Main, Genoa 5KG2</v>
          </cell>
          <cell r="E1871">
            <v>0</v>
          </cell>
          <cell r="G1871">
            <v>0</v>
          </cell>
        </row>
        <row r="1872">
          <cell r="A1872" t="str">
            <v>49-1001943</v>
          </cell>
          <cell r="B1872" t="str">
            <v>Label, Main, Genoa 6KG2</v>
          </cell>
          <cell r="E1872">
            <v>14.6</v>
          </cell>
          <cell r="G1872">
            <v>150</v>
          </cell>
        </row>
        <row r="1873">
          <cell r="A1873" t="str">
            <v>49-1001944</v>
          </cell>
          <cell r="B1873" t="str">
            <v>Label, Main, Genoa 8KG2</v>
          </cell>
          <cell r="E1873">
            <v>17.46294</v>
          </cell>
          <cell r="G1873">
            <v>147</v>
          </cell>
        </row>
        <row r="1874">
          <cell r="A1874" t="str">
            <v>49-1001959</v>
          </cell>
          <cell r="B1874" t="str">
            <v>Label, Genoa 3KG2, DB Faceplate</v>
          </cell>
          <cell r="E1874">
            <v>0</v>
          </cell>
          <cell r="G1874">
            <v>0</v>
          </cell>
        </row>
        <row r="1875">
          <cell r="A1875" t="str">
            <v>49-1002087</v>
          </cell>
          <cell r="B1875" t="str">
            <v>Label, Warning, Emergency Shutdown Switch</v>
          </cell>
          <cell r="E1875">
            <v>145</v>
          </cell>
          <cell r="G1875">
            <v>10</v>
          </cell>
        </row>
        <row r="1876">
          <cell r="A1876" t="str">
            <v>49-1002098</v>
          </cell>
          <cell r="B1876" t="str">
            <v>Labels, Site, PV Systems</v>
          </cell>
          <cell r="E1876">
            <v>81</v>
          </cell>
          <cell r="G1876">
            <v>0</v>
          </cell>
        </row>
        <row r="1877">
          <cell r="A1877" t="str">
            <v>49-1002101</v>
          </cell>
          <cell r="B1877" t="str">
            <v>Label, COM 1</v>
          </cell>
          <cell r="E1877">
            <v>0</v>
          </cell>
          <cell r="G1877">
            <v>0</v>
          </cell>
        </row>
        <row r="1878">
          <cell r="A1878" t="str">
            <v>49-1002102</v>
          </cell>
          <cell r="B1878" t="str">
            <v>Label, COM 2</v>
          </cell>
          <cell r="E1878">
            <v>0</v>
          </cell>
          <cell r="G1878">
            <v>0</v>
          </cell>
        </row>
        <row r="1879">
          <cell r="A1879" t="str">
            <v>49-1002103</v>
          </cell>
          <cell r="B1879" t="str">
            <v>Label, COM 3</v>
          </cell>
          <cell r="E1879">
            <v>0</v>
          </cell>
          <cell r="G1879">
            <v>0</v>
          </cell>
        </row>
        <row r="1880">
          <cell r="A1880" t="str">
            <v>49-1202117</v>
          </cell>
          <cell r="B1880" t="str">
            <v>LABEL, BATTERY CELL</v>
          </cell>
          <cell r="E1880">
            <v>0</v>
          </cell>
          <cell r="G1880">
            <v>0</v>
          </cell>
        </row>
        <row r="1881">
          <cell r="A1881" t="str">
            <v>49-2000315</v>
          </cell>
          <cell r="B1881" t="str">
            <v>HEATSHRINK, PRINTABLE, 50.8X21.6MM, 3:1, WHITE</v>
          </cell>
          <cell r="E1881">
            <v>0</v>
          </cell>
          <cell r="G1881">
            <v>0</v>
          </cell>
        </row>
        <row r="1882">
          <cell r="A1882" t="str">
            <v>49-2000370</v>
          </cell>
          <cell r="B1882" t="str">
            <v>LABEL, WARNING, ELECTRICAL SHOCK, SMALL</v>
          </cell>
          <cell r="E1882">
            <v>1.77033</v>
          </cell>
          <cell r="G1882">
            <v>2546</v>
          </cell>
        </row>
        <row r="1883">
          <cell r="A1883" t="str">
            <v>49-2001249</v>
          </cell>
          <cell r="B1883" t="str">
            <v>Label, Warning, On-site Embedded Generation, Type 1</v>
          </cell>
          <cell r="E1883">
            <v>8.9473299999999991</v>
          </cell>
          <cell r="G1883">
            <v>1767</v>
          </cell>
        </row>
        <row r="1884">
          <cell r="A1884" t="str">
            <v>49-2001250</v>
          </cell>
          <cell r="B1884" t="str">
            <v>Label, Warning, On-site Embedded Generation, Type 2</v>
          </cell>
          <cell r="E1884">
            <v>8.9061299999999992</v>
          </cell>
          <cell r="G1884">
            <v>1690</v>
          </cell>
        </row>
        <row r="1885">
          <cell r="A1885" t="str">
            <v>49-2001251</v>
          </cell>
          <cell r="B1885" t="str">
            <v>Label, Warning, On-site Embedded Generation, Type 3</v>
          </cell>
          <cell r="E1885">
            <v>8.3892600000000002</v>
          </cell>
          <cell r="G1885">
            <v>1782</v>
          </cell>
        </row>
        <row r="1886">
          <cell r="A1886" t="str">
            <v>49-2001535</v>
          </cell>
          <cell r="B1886" t="str">
            <v>Label, Terminal Marker, 01</v>
          </cell>
          <cell r="E1886">
            <v>5.3189799999999998</v>
          </cell>
          <cell r="G1886">
            <v>110</v>
          </cell>
        </row>
        <row r="1887">
          <cell r="A1887" t="str">
            <v>49-2001536</v>
          </cell>
          <cell r="B1887" t="str">
            <v>Label, Terminal Marker, 02</v>
          </cell>
          <cell r="E1887">
            <v>2.4824999999999999</v>
          </cell>
          <cell r="G1887">
            <v>80</v>
          </cell>
        </row>
        <row r="1888">
          <cell r="A1888" t="str">
            <v>49-2001537</v>
          </cell>
          <cell r="B1888" t="str">
            <v>Label, Terminal Marker, 03</v>
          </cell>
          <cell r="E1888">
            <v>2.5024999999999999</v>
          </cell>
          <cell r="G1888">
            <v>80</v>
          </cell>
        </row>
        <row r="1889">
          <cell r="A1889" t="str">
            <v>49-2001545</v>
          </cell>
          <cell r="B1889" t="str">
            <v>Label, Terminal Marker, L</v>
          </cell>
          <cell r="E1889">
            <v>2.1597200000000001</v>
          </cell>
          <cell r="G1889">
            <v>145</v>
          </cell>
        </row>
        <row r="1890">
          <cell r="A1890" t="str">
            <v>49-2001546</v>
          </cell>
          <cell r="B1890" t="str">
            <v>Label, Terminal Marker, N</v>
          </cell>
          <cell r="E1890">
            <v>2.1597200000000001</v>
          </cell>
          <cell r="G1890">
            <v>145</v>
          </cell>
        </row>
        <row r="1891">
          <cell r="A1891" t="str">
            <v>49-2001790</v>
          </cell>
          <cell r="B1891" t="str">
            <v>Earth MEP label</v>
          </cell>
          <cell r="E1891">
            <v>145</v>
          </cell>
          <cell r="G1891">
            <v>34</v>
          </cell>
        </row>
        <row r="1892">
          <cell r="A1892" t="str">
            <v>500-1000644</v>
          </cell>
          <cell r="B1892" t="str">
            <v>BARBON S1, DEPLOYMENT</v>
          </cell>
          <cell r="E1892">
            <v>0</v>
          </cell>
          <cell r="G1892">
            <v>0</v>
          </cell>
        </row>
        <row r="1893">
          <cell r="A1893" t="str">
            <v>500-1000645</v>
          </cell>
          <cell r="B1893" t="str">
            <v>BARBON S2, DEPLOYMENT</v>
          </cell>
          <cell r="E1893">
            <v>0</v>
          </cell>
          <cell r="G1893">
            <v>0</v>
          </cell>
        </row>
        <row r="1894">
          <cell r="A1894" t="str">
            <v>500-1000646</v>
          </cell>
          <cell r="B1894" t="str">
            <v>BARBON L1, DEPLOYMENT</v>
          </cell>
          <cell r="E1894">
            <v>0</v>
          </cell>
          <cell r="G1894">
            <v>0</v>
          </cell>
        </row>
        <row r="1895">
          <cell r="A1895" t="str">
            <v>500-1000647</v>
          </cell>
          <cell r="B1895" t="str">
            <v>BARBON L2, DEPLOYMENT</v>
          </cell>
          <cell r="E1895">
            <v>0</v>
          </cell>
          <cell r="G1895">
            <v>0</v>
          </cell>
        </row>
        <row r="1896">
          <cell r="A1896" t="str">
            <v>500-1000648</v>
          </cell>
          <cell r="B1896" t="str">
            <v>SIENA S, DEPLOYMENT</v>
          </cell>
          <cell r="E1896">
            <v>0</v>
          </cell>
          <cell r="G1896">
            <v>0</v>
          </cell>
        </row>
        <row r="1897">
          <cell r="A1897" t="str">
            <v>500-1000657</v>
          </cell>
          <cell r="B1897" t="str">
            <v>VOLTA 2K, DEPLOYMENT</v>
          </cell>
          <cell r="E1897">
            <v>0</v>
          </cell>
          <cell r="G1897">
            <v>0</v>
          </cell>
        </row>
        <row r="1898">
          <cell r="A1898" t="str">
            <v>500-1000802</v>
          </cell>
          <cell r="B1898" t="str">
            <v>SIENA M, DEPLOYMENT</v>
          </cell>
          <cell r="E1898">
            <v>0</v>
          </cell>
          <cell r="G1898">
            <v>0</v>
          </cell>
        </row>
        <row r="1899">
          <cell r="A1899" t="str">
            <v>500-1000803</v>
          </cell>
          <cell r="B1899" t="str">
            <v>SIENA L, DEPLOYMENT</v>
          </cell>
          <cell r="E1899">
            <v>0</v>
          </cell>
          <cell r="G1899">
            <v>0</v>
          </cell>
        </row>
        <row r="1900">
          <cell r="A1900" t="str">
            <v>500-1000817</v>
          </cell>
          <cell r="B1900" t="str">
            <v>BARBON S3, DEPLOYMENT</v>
          </cell>
          <cell r="E1900">
            <v>0</v>
          </cell>
          <cell r="G1900">
            <v>0</v>
          </cell>
        </row>
        <row r="1901">
          <cell r="A1901" t="str">
            <v>500-1000818</v>
          </cell>
          <cell r="B1901" t="str">
            <v>BARBON S4, DEPLOYMENT</v>
          </cell>
          <cell r="E1901">
            <v>0</v>
          </cell>
          <cell r="G1901">
            <v>0</v>
          </cell>
        </row>
        <row r="1902">
          <cell r="A1902" t="str">
            <v>500-1000819</v>
          </cell>
          <cell r="B1902" t="str">
            <v>BARBON M1, DEPLOYMENT</v>
          </cell>
          <cell r="E1902">
            <v>0</v>
          </cell>
          <cell r="G1902">
            <v>0</v>
          </cell>
        </row>
        <row r="1903">
          <cell r="A1903" t="str">
            <v>500-1000820</v>
          </cell>
          <cell r="B1903" t="str">
            <v>BARBON M2, DEPLOYMENT</v>
          </cell>
          <cell r="E1903">
            <v>0</v>
          </cell>
          <cell r="G1903">
            <v>0</v>
          </cell>
        </row>
        <row r="1904">
          <cell r="A1904" t="str">
            <v>500-1000821</v>
          </cell>
          <cell r="B1904" t="str">
            <v>BARBON M3, DEPLOYMENT</v>
          </cell>
          <cell r="E1904">
            <v>0</v>
          </cell>
          <cell r="G1904">
            <v>0</v>
          </cell>
        </row>
        <row r="1905">
          <cell r="A1905" t="str">
            <v>500-1000822</v>
          </cell>
          <cell r="B1905" t="str">
            <v>BARBON M4, DEPLOYMENT</v>
          </cell>
          <cell r="E1905">
            <v>0</v>
          </cell>
          <cell r="G1905">
            <v>0</v>
          </cell>
        </row>
        <row r="1906">
          <cell r="A1906" t="str">
            <v>500-1000823</v>
          </cell>
          <cell r="B1906" t="str">
            <v>BARBON L3, DEPLOYMENT</v>
          </cell>
          <cell r="E1906">
            <v>0</v>
          </cell>
          <cell r="G1906">
            <v>0</v>
          </cell>
        </row>
        <row r="1907">
          <cell r="A1907" t="str">
            <v>500-1000824</v>
          </cell>
          <cell r="B1907" t="str">
            <v>BARBON L4, DEPLOYMENT</v>
          </cell>
          <cell r="E1907">
            <v>0</v>
          </cell>
          <cell r="G1907">
            <v>0</v>
          </cell>
        </row>
        <row r="1908">
          <cell r="A1908" t="str">
            <v>51-1000508</v>
          </cell>
          <cell r="B1908" t="str">
            <v>SCREW, TORX, CSK, M3X12, SS</v>
          </cell>
          <cell r="E1908">
            <v>0</v>
          </cell>
          <cell r="G1908">
            <v>0</v>
          </cell>
        </row>
        <row r="1909">
          <cell r="A1909" t="str">
            <v>51-2000215</v>
          </cell>
          <cell r="B1909" t="str">
            <v>BOLT, HEX HEAD, M5X10, SS</v>
          </cell>
          <cell r="E1909">
            <v>0.63990000000000002</v>
          </cell>
          <cell r="G1909">
            <v>3782</v>
          </cell>
        </row>
        <row r="1910">
          <cell r="A1910" t="str">
            <v>51-2000216</v>
          </cell>
          <cell r="B1910" t="str">
            <v>BOLT, HEX HEAD, M6X10, SS</v>
          </cell>
          <cell r="E1910">
            <v>0.75027999999999995</v>
          </cell>
          <cell r="G1910">
            <v>67135</v>
          </cell>
        </row>
        <row r="1911">
          <cell r="A1911" t="str">
            <v>51-2000217</v>
          </cell>
          <cell r="B1911" t="str">
            <v>BOLT, HEX HEAD, M6X12, SS</v>
          </cell>
          <cell r="E1911">
            <v>1.0240499999999999</v>
          </cell>
          <cell r="G1911">
            <v>26762</v>
          </cell>
        </row>
        <row r="1912">
          <cell r="A1912" t="str">
            <v>51-2000218</v>
          </cell>
          <cell r="B1912" t="str">
            <v>BOLT, HEX HEAD, M8X16, SS</v>
          </cell>
          <cell r="E1912">
            <v>1.32039</v>
          </cell>
          <cell r="G1912">
            <v>1454</v>
          </cell>
        </row>
        <row r="1913">
          <cell r="A1913" t="str">
            <v>51-2000220</v>
          </cell>
          <cell r="B1913" t="str">
            <v>SCREW, SOCKET HEAD, M3X5, SS</v>
          </cell>
          <cell r="E1913">
            <v>0.32974999999999999</v>
          </cell>
          <cell r="G1913">
            <v>23690</v>
          </cell>
        </row>
        <row r="1914">
          <cell r="A1914" t="str">
            <v>51-2000221</v>
          </cell>
          <cell r="B1914" t="str">
            <v>BOLT, SOCKET HEAD, M4X12, SS</v>
          </cell>
          <cell r="E1914">
            <v>0.51432</v>
          </cell>
          <cell r="G1914">
            <v>16980</v>
          </cell>
        </row>
        <row r="1915">
          <cell r="A1915" t="str">
            <v>51-2000222</v>
          </cell>
          <cell r="B1915" t="str">
            <v>M5X20 CAP SCREW STAINLESS A2 DIN912</v>
          </cell>
          <cell r="E1915">
            <v>0.92300000000000004</v>
          </cell>
          <cell r="G1915">
            <v>1900</v>
          </cell>
        </row>
        <row r="1916">
          <cell r="A1916" t="str">
            <v>51-2000223</v>
          </cell>
          <cell r="B1916" t="str">
            <v>BOLT, SOCKET HEAD, M6X16, SS</v>
          </cell>
          <cell r="E1916">
            <v>0.76622999999999997</v>
          </cell>
          <cell r="G1916">
            <v>4115</v>
          </cell>
        </row>
        <row r="1917">
          <cell r="A1917" t="str">
            <v>51-2000224</v>
          </cell>
          <cell r="B1917" t="str">
            <v>SCREW, SOCKET HEAD, M6X20, SS</v>
          </cell>
          <cell r="E1917">
            <v>0.82</v>
          </cell>
          <cell r="G1917">
            <v>15543</v>
          </cell>
        </row>
        <row r="1918">
          <cell r="A1918" t="str">
            <v>51-2000225</v>
          </cell>
          <cell r="B1918" t="str">
            <v>BOLT, SOCKET HEAD, M6X25, SS</v>
          </cell>
          <cell r="E1918">
            <v>1.1978800000000001</v>
          </cell>
          <cell r="G1918">
            <v>9936</v>
          </cell>
        </row>
        <row r="1919">
          <cell r="A1919" t="str">
            <v>51-2000226</v>
          </cell>
          <cell r="B1919" t="str">
            <v>BOLT, SOCKET HEAD, M6X35, SS</v>
          </cell>
          <cell r="E1919">
            <v>1.45</v>
          </cell>
          <cell r="G1919">
            <v>6249</v>
          </cell>
        </row>
        <row r="1920">
          <cell r="A1920" t="str">
            <v>51-2000234</v>
          </cell>
          <cell r="B1920" t="str">
            <v>WASHER, SPRING, M6, SS</v>
          </cell>
          <cell r="E1920">
            <v>0.14000000000000001</v>
          </cell>
          <cell r="G1920">
            <v>57638</v>
          </cell>
        </row>
        <row r="1921">
          <cell r="A1921" t="str">
            <v>51-2000235</v>
          </cell>
          <cell r="B1921" t="str">
            <v>WASHER, SPRING, M8, SS</v>
          </cell>
          <cell r="E1921">
            <v>0.15</v>
          </cell>
          <cell r="G1921">
            <v>1900</v>
          </cell>
        </row>
        <row r="1922">
          <cell r="A1922" t="str">
            <v>51-2000236</v>
          </cell>
          <cell r="B1922" t="str">
            <v>WASHER, FLAT, M5, SS</v>
          </cell>
          <cell r="E1922">
            <v>0.1</v>
          </cell>
          <cell r="G1922">
            <v>0</v>
          </cell>
        </row>
        <row r="1923">
          <cell r="A1923" t="str">
            <v>51-2000237</v>
          </cell>
          <cell r="B1923" t="str">
            <v>WASHER, FLAT, M6, SS</v>
          </cell>
          <cell r="E1923">
            <v>0.11547</v>
          </cell>
          <cell r="G1923">
            <v>18822</v>
          </cell>
        </row>
        <row r="1924">
          <cell r="A1924" t="str">
            <v>51-2000238</v>
          </cell>
          <cell r="B1924" t="str">
            <v>WASHER, FLAT, M8, SS</v>
          </cell>
          <cell r="E1924">
            <v>0.17199999999999999</v>
          </cell>
          <cell r="G1924">
            <v>10047</v>
          </cell>
        </row>
        <row r="1925">
          <cell r="A1925" t="str">
            <v>51-2000309</v>
          </cell>
          <cell r="B1925" t="str">
            <v>BOLT, HEX HEAD, M5X8, SS</v>
          </cell>
          <cell r="E1925">
            <v>0.59748999999999997</v>
          </cell>
          <cell r="G1925">
            <v>5913</v>
          </cell>
        </row>
        <row r="1926">
          <cell r="A1926" t="str">
            <v>51-2000339</v>
          </cell>
          <cell r="B1926" t="str">
            <v>BOLT, HEX HEAD, M5X6, SS</v>
          </cell>
          <cell r="E1926">
            <v>0.86443000000000003</v>
          </cell>
          <cell r="G1926">
            <v>0</v>
          </cell>
        </row>
        <row r="1927">
          <cell r="A1927" t="str">
            <v>51-2000363</v>
          </cell>
          <cell r="B1927" t="str">
            <v>NUT, HEX, M4, SS</v>
          </cell>
          <cell r="E1927">
            <v>0</v>
          </cell>
          <cell r="G1927">
            <v>0</v>
          </cell>
        </row>
        <row r="1928">
          <cell r="A1928" t="str">
            <v>51-2000364</v>
          </cell>
          <cell r="B1928" t="str">
            <v>WASHER, FLAT, M4, SS</v>
          </cell>
          <cell r="E1928">
            <v>0.03</v>
          </cell>
          <cell r="G1928">
            <v>21243</v>
          </cell>
        </row>
        <row r="1929">
          <cell r="A1929" t="str">
            <v>51-2000376</v>
          </cell>
          <cell r="B1929" t="str">
            <v>BOLT, SOCKET HEAD, M4X6, SS</v>
          </cell>
          <cell r="E1929">
            <v>0.50719999999999998</v>
          </cell>
          <cell r="G1929">
            <v>3419</v>
          </cell>
        </row>
        <row r="1930">
          <cell r="A1930" t="str">
            <v>51-2000381</v>
          </cell>
          <cell r="B1930" t="str">
            <v>BOLT, SOCKET HEAD, M8X20, SS</v>
          </cell>
          <cell r="E1930">
            <v>1.85477</v>
          </cell>
          <cell r="G1930">
            <v>8872</v>
          </cell>
        </row>
        <row r="1931">
          <cell r="A1931" t="str">
            <v>51-2000387</v>
          </cell>
          <cell r="B1931" t="str">
            <v>PLUG, EXPANSION, 10X90, NYLON</v>
          </cell>
          <cell r="E1931">
            <v>5.2830399999999997</v>
          </cell>
          <cell r="G1931">
            <v>7208</v>
          </cell>
        </row>
        <row r="1932">
          <cell r="A1932" t="str">
            <v>51-2000388</v>
          </cell>
          <cell r="B1932" t="str">
            <v>BOLT, MOUNTING, 8X90</v>
          </cell>
          <cell r="E1932">
            <v>1.2357199999999999</v>
          </cell>
          <cell r="G1932">
            <v>6975</v>
          </cell>
        </row>
        <row r="1933">
          <cell r="A1933" t="str">
            <v>51-2000395</v>
          </cell>
          <cell r="B1933" t="str">
            <v>WASHER, SPRING, M4, SS</v>
          </cell>
          <cell r="E1933">
            <v>0</v>
          </cell>
          <cell r="G1933">
            <v>0</v>
          </cell>
        </row>
        <row r="1934">
          <cell r="A1934" t="str">
            <v>51-2000396</v>
          </cell>
          <cell r="B1934" t="str">
            <v>SCREW, SOCKET HEAD, M8X45, SS</v>
          </cell>
          <cell r="E1934">
            <v>2.375</v>
          </cell>
          <cell r="G1934">
            <v>0</v>
          </cell>
        </row>
        <row r="1935">
          <cell r="A1935" t="str">
            <v>51-2000428</v>
          </cell>
          <cell r="B1935" t="str">
            <v>THREADED STUD, M4X10, MILD STEEL</v>
          </cell>
          <cell r="E1935">
            <v>0.45900000000000002</v>
          </cell>
          <cell r="G1935">
            <v>0</v>
          </cell>
        </row>
        <row r="1936">
          <cell r="A1936" t="str">
            <v>51-2000437</v>
          </cell>
          <cell r="B1936" t="str">
            <v>BOLT, SOCKET HEAD, M3X8, SS</v>
          </cell>
          <cell r="E1936">
            <v>0.43726999999999999</v>
          </cell>
          <cell r="G1936">
            <v>18647</v>
          </cell>
        </row>
        <row r="1937">
          <cell r="A1937" t="str">
            <v>51-2000439</v>
          </cell>
          <cell r="B1937" t="str">
            <v>BOLT, BUTTON HEAD, M4X6, SS</v>
          </cell>
          <cell r="E1937">
            <v>0.30098999999999998</v>
          </cell>
          <cell r="G1937">
            <v>12465</v>
          </cell>
        </row>
        <row r="1938">
          <cell r="A1938" t="str">
            <v>51-2000461</v>
          </cell>
          <cell r="B1938" t="str">
            <v>BOLT, SOCKET HEAD, M2X10, SS</v>
          </cell>
          <cell r="E1938">
            <v>0.84287999999999996</v>
          </cell>
          <cell r="G1938">
            <v>1406</v>
          </cell>
        </row>
        <row r="1939">
          <cell r="A1939" t="str">
            <v>51-2000465</v>
          </cell>
          <cell r="B1939" t="str">
            <v>BOLT, BUTTON HEAD, M6X25, SS</v>
          </cell>
          <cell r="E1939">
            <v>1.2562</v>
          </cell>
          <cell r="G1939">
            <v>6493</v>
          </cell>
        </row>
        <row r="1940">
          <cell r="A1940" t="str">
            <v>51-2000472</v>
          </cell>
          <cell r="B1940" t="str">
            <v>SCREW, SOCKET HEAD, CSK, M3X10, SS</v>
          </cell>
          <cell r="E1940">
            <v>0.21060999999999999</v>
          </cell>
          <cell r="G1940">
            <v>5300</v>
          </cell>
        </row>
        <row r="1941">
          <cell r="A1941" t="str">
            <v>51-2000480</v>
          </cell>
          <cell r="B1941" t="str">
            <v>SCREW, S/T, PAN HEAD, NO4X9,5</v>
          </cell>
          <cell r="E1941">
            <v>0</v>
          </cell>
          <cell r="G1941">
            <v>0</v>
          </cell>
        </row>
        <row r="1942">
          <cell r="A1942" t="str">
            <v>51-2000483</v>
          </cell>
          <cell r="B1942" t="str">
            <v>SCREW, SOCKET HEAD,CSK, M4X8, SS</v>
          </cell>
          <cell r="E1942">
            <v>0.35647000000000001</v>
          </cell>
          <cell r="G1942">
            <v>26470</v>
          </cell>
        </row>
        <row r="1943">
          <cell r="A1943" t="str">
            <v>51-2000484</v>
          </cell>
          <cell r="B1943" t="str">
            <v>SCREW, SOCKET HEAD, M3X10, SS</v>
          </cell>
          <cell r="E1943">
            <v>0.36620000000000003</v>
          </cell>
          <cell r="G1943">
            <v>11839</v>
          </cell>
        </row>
        <row r="1944">
          <cell r="A1944" t="str">
            <v>51-2000496</v>
          </cell>
          <cell r="B1944" t="str">
            <v>SCREW, SOCKET HEAD, M6X12, SS</v>
          </cell>
          <cell r="E1944">
            <v>0.97797000000000001</v>
          </cell>
          <cell r="G1944">
            <v>15339</v>
          </cell>
        </row>
        <row r="1945">
          <cell r="A1945" t="str">
            <v>51-2000497</v>
          </cell>
          <cell r="B1945" t="str">
            <v>SCREW, CHEESE HEAD, SLOTTED, M4X60</v>
          </cell>
          <cell r="E1945">
            <v>0.20949999999999999</v>
          </cell>
          <cell r="G1945">
            <v>6005</v>
          </cell>
        </row>
        <row r="1946">
          <cell r="A1946" t="str">
            <v>51-2000500</v>
          </cell>
          <cell r="B1946" t="str">
            <v>SCREW, SOCKET HEAD, M4X20, SS</v>
          </cell>
          <cell r="E1946">
            <v>0.64058999999999999</v>
          </cell>
          <cell r="G1946">
            <v>11873</v>
          </cell>
        </row>
        <row r="1947">
          <cell r="A1947" t="str">
            <v>51-2000607</v>
          </cell>
          <cell r="B1947" t="str">
            <v>M8X30 BOLT</v>
          </cell>
          <cell r="E1947">
            <v>2.0832999999999999</v>
          </cell>
          <cell r="G1947">
            <v>59426</v>
          </cell>
        </row>
        <row r="1948">
          <cell r="A1948" t="str">
            <v>51-2000643</v>
          </cell>
          <cell r="B1948" t="str">
            <v>SCREW, SOCKET HEAD, M8X30, SS</v>
          </cell>
          <cell r="E1948">
            <v>1.9201999999999999</v>
          </cell>
          <cell r="G1948">
            <v>2733</v>
          </cell>
        </row>
        <row r="1949">
          <cell r="A1949" t="str">
            <v>51-2000659</v>
          </cell>
          <cell r="B1949" t="str">
            <v>SCREW, HEX HEAD, M4X10, SS</v>
          </cell>
          <cell r="E1949">
            <v>0.48</v>
          </cell>
          <cell r="G1949">
            <v>5564</v>
          </cell>
        </row>
        <row r="1950">
          <cell r="A1950" t="str">
            <v>51-2000730</v>
          </cell>
          <cell r="B1950" t="str">
            <v>SCREW, SELF TAP, POZI, #4 2,8X10,  ZINC PLATED</v>
          </cell>
          <cell r="E1950">
            <v>0.10854</v>
          </cell>
          <cell r="G1950">
            <v>6674</v>
          </cell>
        </row>
        <row r="1951">
          <cell r="A1951" t="str">
            <v>51-2000732</v>
          </cell>
          <cell r="B1951" t="str">
            <v xml:space="preserve">SCREW, BUTTON HEAD, ALLEN, M5X6, SS, A2 </v>
          </cell>
          <cell r="E1951">
            <v>0.32052999999999998</v>
          </cell>
          <cell r="G1951">
            <v>25045</v>
          </cell>
        </row>
        <row r="1952">
          <cell r="A1952" t="str">
            <v>51-2000738</v>
          </cell>
          <cell r="B1952" t="str">
            <v>SCREW, BUTTON HEAD, M4X16, SS</v>
          </cell>
          <cell r="E1952">
            <v>0.38</v>
          </cell>
          <cell r="G1952">
            <v>13959</v>
          </cell>
        </row>
        <row r="1953">
          <cell r="A1953" t="str">
            <v>51-2000771</v>
          </cell>
          <cell r="B1953" t="str">
            <v>SCREW, SELF TAP, PT, POZI, M3X12, SS</v>
          </cell>
          <cell r="E1953">
            <v>0.94133</v>
          </cell>
          <cell r="G1953">
            <v>19</v>
          </cell>
        </row>
        <row r="1954">
          <cell r="A1954" t="str">
            <v>51-2000829</v>
          </cell>
          <cell r="B1954" t="str">
            <v>SCREW, SELF-DRILLING, HEX HEAD, 5.5X19, ZINC PLATED</v>
          </cell>
          <cell r="E1954">
            <v>0.38523000000000002</v>
          </cell>
          <cell r="G1954">
            <v>6308</v>
          </cell>
        </row>
        <row r="1955">
          <cell r="A1955" t="str">
            <v>51-2000829-02</v>
          </cell>
          <cell r="B1955" t="str">
            <v>SCREW, SELF-DRILLING, HEX HEAD, 5.5X19, ZINC PLATED (Black)</v>
          </cell>
          <cell r="E1955">
            <v>1.24</v>
          </cell>
          <cell r="G1955">
            <v>0</v>
          </cell>
        </row>
        <row r="1956">
          <cell r="A1956" t="str">
            <v>51-2000842</v>
          </cell>
          <cell r="B1956" t="str">
            <v>SCREW, PAN HEACHD, NYLON, PHILLIPS, M3 X 3MM</v>
          </cell>
          <cell r="E1956">
            <v>0</v>
          </cell>
          <cell r="G1956">
            <v>0</v>
          </cell>
        </row>
        <row r="1957">
          <cell r="A1957" t="str">
            <v>51-2000937</v>
          </cell>
          <cell r="B1957" t="str">
            <v>SCREW, HEX HEAD, M4X12, SS</v>
          </cell>
          <cell r="E1957">
            <v>0.50034000000000001</v>
          </cell>
          <cell r="G1957">
            <v>19665</v>
          </cell>
        </row>
        <row r="1958">
          <cell r="A1958" t="str">
            <v>51-2000993</v>
          </cell>
          <cell r="B1958" t="str">
            <v>SCREW, BUTTON HEACHD, M6X16, A2</v>
          </cell>
          <cell r="E1958">
            <v>0.60838999999999999</v>
          </cell>
          <cell r="G1958">
            <v>1443</v>
          </cell>
        </row>
        <row r="1959">
          <cell r="A1959" t="str">
            <v>51-2001046</v>
          </cell>
          <cell r="B1959" t="str">
            <v>SCREW, HEX HEAD, M5X12, SS</v>
          </cell>
          <cell r="E1959">
            <v>0.7</v>
          </cell>
          <cell r="G1959">
            <v>14400</v>
          </cell>
        </row>
        <row r="1960">
          <cell r="A1960" t="str">
            <v>51-2001212</v>
          </cell>
          <cell r="B1960" t="str">
            <v>Screw, Socket Head, M6x30, SS</v>
          </cell>
          <cell r="E1960">
            <v>1.3</v>
          </cell>
          <cell r="G1960">
            <v>1352</v>
          </cell>
        </row>
        <row r="1961">
          <cell r="A1961" t="str">
            <v>51-2001696</v>
          </cell>
          <cell r="B1961" t="str">
            <v>Screw, Hex Head, M6x16, SS</v>
          </cell>
          <cell r="E1961">
            <v>0.7</v>
          </cell>
          <cell r="G1961">
            <v>70</v>
          </cell>
        </row>
        <row r="1962">
          <cell r="A1962" t="str">
            <v>51-2001740</v>
          </cell>
          <cell r="B1962" t="str">
            <v>Screw, Hex Head, M10x30, SS, Full Thread</v>
          </cell>
          <cell r="E1962">
            <v>2.7950499999999998</v>
          </cell>
          <cell r="G1962">
            <v>196</v>
          </cell>
        </row>
        <row r="1963">
          <cell r="A1963" t="str">
            <v>51-2001741</v>
          </cell>
          <cell r="B1963" t="str">
            <v>Screw, Hex Head, M12x40, SS, Full Thread</v>
          </cell>
          <cell r="E1963">
            <v>5.24</v>
          </cell>
          <cell r="G1963">
            <v>1372</v>
          </cell>
        </row>
        <row r="1964">
          <cell r="A1964" t="str">
            <v>51-2001769</v>
          </cell>
          <cell r="B1964" t="str">
            <v>Bolt, Socket Head, M3x6, SS</v>
          </cell>
          <cell r="E1964">
            <v>0.3</v>
          </cell>
          <cell r="G1964">
            <v>50</v>
          </cell>
        </row>
        <row r="1965">
          <cell r="A1965" t="str">
            <v>51-2001914</v>
          </cell>
          <cell r="B1965" t="str">
            <v>Bolt, Hex Head, M8x35, Zinc Plated</v>
          </cell>
          <cell r="E1965">
            <v>1.1299999999999999</v>
          </cell>
          <cell r="G1965">
            <v>200</v>
          </cell>
        </row>
        <row r="1966">
          <cell r="A1966" t="str">
            <v>51-2001915</v>
          </cell>
          <cell r="B1966" t="str">
            <v>Bolt, Hex head, M10x35, Zinc Plated</v>
          </cell>
          <cell r="E1966">
            <v>1.87</v>
          </cell>
          <cell r="G1966">
            <v>200</v>
          </cell>
        </row>
        <row r="1967">
          <cell r="A1967" t="str">
            <v>51-2001916</v>
          </cell>
          <cell r="B1967" t="str">
            <v>Bolt, Hex Head, M12x45, Zinc Plated</v>
          </cell>
          <cell r="E1967">
            <v>2.99</v>
          </cell>
          <cell r="G1967">
            <v>150</v>
          </cell>
        </row>
        <row r="1968">
          <cell r="A1968" t="str">
            <v>52-2000363</v>
          </cell>
          <cell r="B1968" t="str">
            <v>NUT, HEX, M4, SS</v>
          </cell>
          <cell r="E1968">
            <v>0</v>
          </cell>
          <cell r="G1968">
            <v>0</v>
          </cell>
        </row>
        <row r="1969">
          <cell r="A1969" t="str">
            <v>52-2000462</v>
          </cell>
          <cell r="B1969" t="str">
            <v>NUT, HEX, M2, SS</v>
          </cell>
          <cell r="E1969">
            <v>0.21131</v>
          </cell>
          <cell r="G1969">
            <v>6588</v>
          </cell>
        </row>
        <row r="1970">
          <cell r="A1970" t="str">
            <v>52-2000475</v>
          </cell>
          <cell r="B1970" t="str">
            <v>NUT, HEX, SELF-LOCKING, M3, SS</v>
          </cell>
          <cell r="E1970">
            <v>0.11940000000000001</v>
          </cell>
          <cell r="G1970">
            <v>2755</v>
          </cell>
        </row>
        <row r="1971">
          <cell r="A1971" t="str">
            <v>52-2000505</v>
          </cell>
          <cell r="B1971" t="str">
            <v>SCREW, CAP HEAD. HEX SOCKET, M6X10, SS</v>
          </cell>
          <cell r="E1971">
            <v>0.85782000000000003</v>
          </cell>
          <cell r="G1971">
            <v>34648</v>
          </cell>
        </row>
        <row r="1972">
          <cell r="A1972" t="str">
            <v>52-2000509</v>
          </cell>
          <cell r="B1972" t="str">
            <v>NUT, HEX, NYLOC, M4, SS</v>
          </cell>
          <cell r="E1972">
            <v>0.23565</v>
          </cell>
          <cell r="G1972">
            <v>20764</v>
          </cell>
        </row>
        <row r="1973">
          <cell r="A1973" t="str">
            <v>52-2000608</v>
          </cell>
          <cell r="B1973" t="str">
            <v>M8 NUT</v>
          </cell>
          <cell r="E1973">
            <v>0.56469000000000003</v>
          </cell>
          <cell r="G1973">
            <v>48739</v>
          </cell>
        </row>
        <row r="1974">
          <cell r="A1974" t="str">
            <v>52-2000608-02</v>
          </cell>
          <cell r="B1974" t="str">
            <v>M8 NUT (Black)</v>
          </cell>
          <cell r="E1974">
            <v>1.1000000000000001</v>
          </cell>
          <cell r="G1974">
            <v>0</v>
          </cell>
        </row>
        <row r="1975">
          <cell r="A1975" t="str">
            <v>52-2000785</v>
          </cell>
          <cell r="B1975" t="str">
            <v>Nut, Hex, Flanged Nyloc, M6, SS</v>
          </cell>
          <cell r="E1975">
            <v>0.42</v>
          </cell>
          <cell r="G1975">
            <v>170</v>
          </cell>
        </row>
        <row r="1976">
          <cell r="A1976" t="str">
            <v>52-2000841</v>
          </cell>
          <cell r="B1976" t="str">
            <v>STANDOFF, HEX, NYLON, FEMALE-FEMALE, M3 X 5MM</v>
          </cell>
          <cell r="E1976">
            <v>0</v>
          </cell>
          <cell r="G1976">
            <v>0</v>
          </cell>
        </row>
        <row r="1977">
          <cell r="A1977" t="str">
            <v>52-2001060</v>
          </cell>
          <cell r="B1977" t="str">
            <v>Nut, Hex, Nyloc,  M8, SS</v>
          </cell>
          <cell r="E1977">
            <v>0.62</v>
          </cell>
          <cell r="G1977">
            <v>25</v>
          </cell>
        </row>
        <row r="1978">
          <cell r="A1978" t="str">
            <v>52-2001917</v>
          </cell>
          <cell r="B1978" t="str">
            <v>Nut, Hex, M8, Zinc Plated</v>
          </cell>
          <cell r="E1978">
            <v>0.4</v>
          </cell>
          <cell r="G1978">
            <v>200</v>
          </cell>
        </row>
        <row r="1979">
          <cell r="A1979" t="str">
            <v>52-2001918</v>
          </cell>
          <cell r="B1979" t="str">
            <v>Nut, Hex, M10, Zinc Plated</v>
          </cell>
          <cell r="E1979">
            <v>0.7</v>
          </cell>
          <cell r="G1979">
            <v>200</v>
          </cell>
        </row>
        <row r="1980">
          <cell r="A1980" t="str">
            <v>52-2001919</v>
          </cell>
          <cell r="B1980" t="str">
            <v>Nut, Hex, M12, Zinc Plated</v>
          </cell>
          <cell r="E1980">
            <v>0.97</v>
          </cell>
          <cell r="G1980">
            <v>150</v>
          </cell>
        </row>
        <row r="1981">
          <cell r="A1981" t="str">
            <v>52-2002001</v>
          </cell>
          <cell r="B1981" t="str">
            <v>Cabinet Cage Nut, M6</v>
          </cell>
          <cell r="E1981">
            <v>2.39</v>
          </cell>
          <cell r="G1981">
            <v>0</v>
          </cell>
        </row>
        <row r="1982">
          <cell r="A1982" t="str">
            <v>52-2002053</v>
          </cell>
          <cell r="B1982" t="str">
            <v>Insulator Mounting Bolt Kit, M6x30</v>
          </cell>
          <cell r="E1982">
            <v>25.3</v>
          </cell>
          <cell r="G1982">
            <v>3</v>
          </cell>
        </row>
        <row r="1983">
          <cell r="A1983" t="str">
            <v>52-2002060</v>
          </cell>
          <cell r="B1983" t="str">
            <v>Insulator Mounting Bolt Kit, M8x35</v>
          </cell>
          <cell r="E1983">
            <v>33</v>
          </cell>
          <cell r="G1983">
            <v>4</v>
          </cell>
        </row>
        <row r="1984">
          <cell r="A1984" t="str">
            <v>53-2000233</v>
          </cell>
          <cell r="B1984" t="str">
            <v>WASHER, SPRING, M5, SS</v>
          </cell>
          <cell r="E1984">
            <v>8.967E-2</v>
          </cell>
          <cell r="G1984">
            <v>28098</v>
          </cell>
        </row>
        <row r="1985">
          <cell r="A1985" t="str">
            <v>53-2000234</v>
          </cell>
          <cell r="B1985" t="str">
            <v>WASHER, SPRING, M6, SS</v>
          </cell>
          <cell r="E1985">
            <v>0.14025000000000001</v>
          </cell>
          <cell r="G1985">
            <v>92051</v>
          </cell>
        </row>
        <row r="1986">
          <cell r="A1986" t="str">
            <v>53-2000235</v>
          </cell>
          <cell r="B1986" t="str">
            <v>WASHER, SPRING, M8, SS</v>
          </cell>
          <cell r="E1986">
            <v>0.15701999999999999</v>
          </cell>
          <cell r="G1986">
            <v>52710</v>
          </cell>
        </row>
        <row r="1987">
          <cell r="A1987" t="str">
            <v>53-2000236</v>
          </cell>
          <cell r="B1987" t="str">
            <v>WASHER, FLAT, M5, SS</v>
          </cell>
          <cell r="E1987">
            <v>8.7129999999999999E-2</v>
          </cell>
          <cell r="G1987">
            <v>14033</v>
          </cell>
        </row>
        <row r="1988">
          <cell r="A1988" t="str">
            <v>53-2000237</v>
          </cell>
          <cell r="B1988" t="str">
            <v>WASHER, FLAT, M6, SS</v>
          </cell>
          <cell r="E1988">
            <v>0.17374000000000001</v>
          </cell>
          <cell r="G1988">
            <v>118563</v>
          </cell>
        </row>
        <row r="1989">
          <cell r="A1989" t="str">
            <v>53-2000238</v>
          </cell>
          <cell r="B1989" t="str">
            <v>WASHER, FLAT, M8, SS</v>
          </cell>
          <cell r="E1989">
            <v>0.15273999999999999</v>
          </cell>
          <cell r="G1989">
            <v>118069</v>
          </cell>
        </row>
        <row r="1990">
          <cell r="A1990" t="str">
            <v>53-2000239</v>
          </cell>
          <cell r="B1990" t="str">
            <v>WASHER, FLAT, LARGE, M6, SS</v>
          </cell>
          <cell r="E1990">
            <v>0.31019999999999998</v>
          </cell>
          <cell r="G1990">
            <v>3798</v>
          </cell>
        </row>
        <row r="1991">
          <cell r="A1991" t="str">
            <v>53-2000364</v>
          </cell>
          <cell r="B1991" t="str">
            <v>WASHER, FLAT, M4, SS</v>
          </cell>
          <cell r="E1991">
            <v>4.9770000000000002E-2</v>
          </cell>
          <cell r="G1991">
            <v>34017</v>
          </cell>
        </row>
        <row r="1992">
          <cell r="A1992" t="str">
            <v>53-2000395</v>
          </cell>
          <cell r="B1992" t="str">
            <v>WASHER, SPRING, M4, SS</v>
          </cell>
          <cell r="E1992">
            <v>3.3439999999999998E-2</v>
          </cell>
          <cell r="G1992">
            <v>14247</v>
          </cell>
        </row>
        <row r="1993">
          <cell r="A1993" t="str">
            <v>53-2000405</v>
          </cell>
          <cell r="B1993" t="str">
            <v>WASHER, FLAT, M3, SS</v>
          </cell>
          <cell r="E1993">
            <v>5.9119999999999999E-2</v>
          </cell>
          <cell r="G1993">
            <v>75770</v>
          </cell>
        </row>
        <row r="1994">
          <cell r="A1994" t="str">
            <v>53-2000437</v>
          </cell>
          <cell r="B1994" t="str">
            <v>BOLT, SOCKET HEAD, M3X8, SS</v>
          </cell>
          <cell r="E1994">
            <v>0.03</v>
          </cell>
          <cell r="G1994">
            <v>0</v>
          </cell>
        </row>
        <row r="1995">
          <cell r="A1995" t="str">
            <v>53-2000460</v>
          </cell>
          <cell r="B1995" t="str">
            <v>WASHER, FLAT, M2, SS</v>
          </cell>
          <cell r="E1995">
            <v>6.3149999999999998E-2</v>
          </cell>
          <cell r="G1995">
            <v>3657</v>
          </cell>
        </row>
        <row r="1996">
          <cell r="A1996" t="str">
            <v>53-2000830</v>
          </cell>
          <cell r="B1996" t="str">
            <v>WASHER, SERRATED, EXTERNAL, M6, ZINC PLATED</v>
          </cell>
          <cell r="E1996">
            <v>0.16233</v>
          </cell>
          <cell r="G1996">
            <v>6036</v>
          </cell>
        </row>
        <row r="1997">
          <cell r="A1997" t="str">
            <v>53-2001144</v>
          </cell>
          <cell r="B1997" t="str">
            <v>Washer, Flat, Fender, M4, SS</v>
          </cell>
          <cell r="E1997">
            <v>0.11985</v>
          </cell>
          <cell r="G1997">
            <v>8676</v>
          </cell>
        </row>
        <row r="1998">
          <cell r="A1998" t="str">
            <v>53-2001714</v>
          </cell>
          <cell r="B1998" t="str">
            <v>Washer, Contact Lock, M6, Zinc Plated</v>
          </cell>
          <cell r="E1998">
            <v>1.42</v>
          </cell>
          <cell r="G1998">
            <v>10000</v>
          </cell>
        </row>
        <row r="1999">
          <cell r="A1999" t="str">
            <v>53-2001920</v>
          </cell>
          <cell r="B1999" t="str">
            <v>Washer, Flat, M8, Zinc Plated</v>
          </cell>
          <cell r="E1999">
            <v>0.11</v>
          </cell>
          <cell r="G1999">
            <v>200</v>
          </cell>
        </row>
        <row r="2000">
          <cell r="A2000" t="str">
            <v>53-2001921</v>
          </cell>
          <cell r="B2000" t="str">
            <v>Washer, Flat, M10, Zinc Plated</v>
          </cell>
          <cell r="E2000">
            <v>0.11</v>
          </cell>
          <cell r="G2000">
            <v>1020</v>
          </cell>
        </row>
        <row r="2001">
          <cell r="A2001" t="str">
            <v>53-2001922</v>
          </cell>
          <cell r="B2001" t="str">
            <v>Washer, Flat, M12, Zinc Plated</v>
          </cell>
          <cell r="E2001">
            <v>0.23</v>
          </cell>
          <cell r="G2001">
            <v>200</v>
          </cell>
        </row>
        <row r="2002">
          <cell r="A2002" t="str">
            <v>53-2001923</v>
          </cell>
          <cell r="B2002" t="str">
            <v>Washer, Spring, M8, Zinc Plated</v>
          </cell>
          <cell r="E2002">
            <v>0.05</v>
          </cell>
          <cell r="G2002">
            <v>2000</v>
          </cell>
        </row>
        <row r="2003">
          <cell r="A2003" t="str">
            <v>53-2001924</v>
          </cell>
          <cell r="B2003" t="str">
            <v>Washer, Spring, M10, Zinc Plated</v>
          </cell>
          <cell r="E2003">
            <v>0.09</v>
          </cell>
          <cell r="G2003">
            <v>3000</v>
          </cell>
        </row>
        <row r="2004">
          <cell r="A2004" t="str">
            <v>53-2001925</v>
          </cell>
          <cell r="B2004" t="str">
            <v>Washer, Spring, M12, Zinc Plated</v>
          </cell>
          <cell r="E2004">
            <v>0.15</v>
          </cell>
          <cell r="G2004">
            <v>1000</v>
          </cell>
        </row>
        <row r="2005">
          <cell r="A2005" t="str">
            <v>54-2000230</v>
          </cell>
          <cell r="B2005" t="str">
            <v>RIVET, BLIND, DOME, AS, 4X8</v>
          </cell>
          <cell r="E2005">
            <v>0</v>
          </cell>
          <cell r="G2005">
            <v>0</v>
          </cell>
        </row>
        <row r="2006">
          <cell r="A2006" t="str">
            <v>54-2000231</v>
          </cell>
          <cell r="B2006" t="str">
            <v>RIVET, BLIND, DOME, BLACK, AL, 4.0X10</v>
          </cell>
          <cell r="E2006">
            <v>0.21504999999999999</v>
          </cell>
          <cell r="G2006">
            <v>66151</v>
          </cell>
        </row>
        <row r="2007">
          <cell r="A2007" t="str">
            <v>54-2000232</v>
          </cell>
          <cell r="B2007" t="str">
            <v>RIVET, BLIND, DOME, BLACK, AL, 4X12</v>
          </cell>
          <cell r="E2007">
            <v>0.28575</v>
          </cell>
          <cell r="G2007">
            <v>7647</v>
          </cell>
        </row>
        <row r="2008">
          <cell r="A2008" t="str">
            <v>54-2000240</v>
          </cell>
          <cell r="B2008" t="str">
            <v>RIVNUT, M4, ST, LF</v>
          </cell>
          <cell r="E2008">
            <v>0.64790999999999999</v>
          </cell>
          <cell r="G2008">
            <v>8767</v>
          </cell>
        </row>
        <row r="2009">
          <cell r="A2009" t="str">
            <v>54-2000242</v>
          </cell>
          <cell r="B2009" t="str">
            <v>RIVNUT, M6, AL, LF</v>
          </cell>
          <cell r="E2009">
            <v>1.56318</v>
          </cell>
          <cell r="G2009">
            <v>5299</v>
          </cell>
        </row>
        <row r="2010">
          <cell r="A2010" t="str">
            <v>54-2000243</v>
          </cell>
          <cell r="B2010" t="str">
            <v>RIVNUT, M8, AL, LF</v>
          </cell>
          <cell r="E2010">
            <v>2.20844</v>
          </cell>
          <cell r="G2010">
            <v>6721</v>
          </cell>
        </row>
        <row r="2011">
          <cell r="A2011" t="str">
            <v>54-2000399</v>
          </cell>
          <cell r="B2011" t="str">
            <v>RIVET, BLIND, DOME, BLACK, AL, 3.2X10</v>
          </cell>
          <cell r="E2011">
            <v>2.3000000000000001E-4</v>
          </cell>
          <cell r="G2011">
            <v>8484</v>
          </cell>
        </row>
        <row r="2012">
          <cell r="A2012" t="str">
            <v>54-2000464</v>
          </cell>
          <cell r="B2012" t="str">
            <v>RIVNUT, M6, ST, CSK</v>
          </cell>
          <cell r="E2012">
            <v>4.2788399999999998</v>
          </cell>
          <cell r="G2012">
            <v>1359</v>
          </cell>
        </row>
        <row r="2013">
          <cell r="A2013" t="str">
            <v>54-2000503</v>
          </cell>
          <cell r="B2013" t="str">
            <v>RIVET, BLIND, DOME, BLACK, AL, 3,2X6</v>
          </cell>
          <cell r="E2013">
            <v>0.12021999999999999</v>
          </cell>
          <cell r="G2013">
            <v>7970</v>
          </cell>
        </row>
        <row r="2014">
          <cell r="A2014" t="str">
            <v>54-2000563</v>
          </cell>
          <cell r="B2014" t="str">
            <v>RIVNUT, M6, ST, LF</v>
          </cell>
          <cell r="E2014">
            <v>4.2713900000000002</v>
          </cell>
          <cell r="G2014">
            <v>28730</v>
          </cell>
        </row>
        <row r="2015">
          <cell r="A2015" t="str">
            <v>54-2001236</v>
          </cell>
          <cell r="B2015" t="str">
            <v>Rivnut, M4, St, LF</v>
          </cell>
          <cell r="E2015">
            <v>0.38321</v>
          </cell>
          <cell r="G2015">
            <v>19846</v>
          </cell>
        </row>
        <row r="2016">
          <cell r="A2016" t="str">
            <v>54-2002076</v>
          </cell>
          <cell r="B2016" t="str">
            <v>Rivet, Blind, Dome, Silver, Large Flange, AL, 4.0x10</v>
          </cell>
          <cell r="E2016">
            <v>0.28544999999999998</v>
          </cell>
          <cell r="G2016">
            <v>27212</v>
          </cell>
        </row>
        <row r="2017">
          <cell r="A2017" t="str">
            <v>59-1000258</v>
          </cell>
          <cell r="B2017" t="str">
            <v>PCB ASSY, MC BASE</v>
          </cell>
          <cell r="E2017">
            <v>239.91345999999999</v>
          </cell>
          <cell r="G2017">
            <v>2748</v>
          </cell>
        </row>
        <row r="2018">
          <cell r="A2018" t="str">
            <v>59-1000259</v>
          </cell>
          <cell r="B2018" t="str">
            <v>PCB ASSY, MC ESP</v>
          </cell>
          <cell r="E2018">
            <v>86.660259999999994</v>
          </cell>
          <cell r="G2018">
            <v>2771</v>
          </cell>
        </row>
        <row r="2019">
          <cell r="A2019" t="str">
            <v>59-1000261</v>
          </cell>
          <cell r="B2019" t="str">
            <v>PCB ASSY, MC LTE</v>
          </cell>
          <cell r="E2019">
            <v>32.938800000000001</v>
          </cell>
          <cell r="G2019">
            <v>2392</v>
          </cell>
        </row>
        <row r="2020">
          <cell r="A2020" t="str">
            <v>59-1000444</v>
          </cell>
          <cell r="B2020" t="str">
            <v>LABEL, QR CODE (SW)</v>
          </cell>
          <cell r="E2020">
            <v>0</v>
          </cell>
          <cell r="G2020">
            <v>0</v>
          </cell>
        </row>
        <row r="2021">
          <cell r="A2021" t="str">
            <v>59-1000522</v>
          </cell>
          <cell r="B2021" t="str">
            <v xml:space="preserve">PCB ASSY, DC FAN CONTROLLER </v>
          </cell>
          <cell r="E2021">
            <v>166.28595000000001</v>
          </cell>
          <cell r="G2021">
            <v>4434</v>
          </cell>
        </row>
        <row r="2022">
          <cell r="A2022" t="str">
            <v>59-1000523</v>
          </cell>
          <cell r="B2022" t="str">
            <v>PCB ASSY, AC BYPASS</v>
          </cell>
          <cell r="E2022">
            <v>60.56</v>
          </cell>
          <cell r="G2022">
            <v>910</v>
          </cell>
        </row>
        <row r="2023">
          <cell r="A2023" t="str">
            <v>59-1000980</v>
          </cell>
          <cell r="B2023" t="str">
            <v>PCB ASSY, POWER BUTTON</v>
          </cell>
          <cell r="E2023">
            <v>0</v>
          </cell>
          <cell r="G2023">
            <v>0</v>
          </cell>
        </row>
        <row r="2024">
          <cell r="A2024" t="str">
            <v>59-2000213</v>
          </cell>
          <cell r="B2024" t="str">
            <v>BMS, 24V</v>
          </cell>
          <cell r="E2024">
            <v>2587.9143300000001</v>
          </cell>
          <cell r="G2024">
            <v>1095</v>
          </cell>
        </row>
        <row r="2025">
          <cell r="A2025" t="str">
            <v>59-2000214</v>
          </cell>
          <cell r="B2025" t="str">
            <v>BMS, 48V</v>
          </cell>
          <cell r="E2025">
            <v>2113.0990999999999</v>
          </cell>
          <cell r="G2025">
            <v>2582</v>
          </cell>
        </row>
        <row r="2026">
          <cell r="A2026" t="str">
            <v>59-2000501</v>
          </cell>
          <cell r="B2026" t="str">
            <v>BMS, 100A</v>
          </cell>
          <cell r="E2026">
            <v>658.82259999999997</v>
          </cell>
          <cell r="G2026">
            <v>2938</v>
          </cell>
        </row>
        <row r="2027">
          <cell r="A2027" t="str">
            <v>59-2000682</v>
          </cell>
          <cell r="B2027" t="str">
            <v>UART TTL TO RS485 CONVERTER</v>
          </cell>
          <cell r="E2027">
            <v>31.798670000000001</v>
          </cell>
          <cell r="G2027">
            <v>650</v>
          </cell>
        </row>
        <row r="2028">
          <cell r="A2028" t="str">
            <v>59-2000683</v>
          </cell>
          <cell r="B2028" t="str">
            <v>MICRO SD CARD MODULE</v>
          </cell>
          <cell r="E2028">
            <v>12.16447</v>
          </cell>
          <cell r="G2028">
            <v>356</v>
          </cell>
        </row>
        <row r="2029">
          <cell r="A2029" t="str">
            <v>59-2000684</v>
          </cell>
          <cell r="B2029" t="str">
            <v>ESP32-C3-DEVKITM-1U</v>
          </cell>
          <cell r="E2029">
            <v>136.45265000000001</v>
          </cell>
          <cell r="G2029">
            <v>257</v>
          </cell>
        </row>
        <row r="2030">
          <cell r="A2030" t="str">
            <v>59-2000684-X</v>
          </cell>
          <cell r="B2030" t="str">
            <v>ESP32-C3-DEVKITM-1U</v>
          </cell>
          <cell r="E2030">
            <v>189.74</v>
          </cell>
          <cell r="G2030">
            <v>0</v>
          </cell>
        </row>
        <row r="2031">
          <cell r="A2031" t="str">
            <v>60-1000209</v>
          </cell>
          <cell r="B2031" t="str">
            <v>BMS, 24V, Tested</v>
          </cell>
          <cell r="E2031">
            <v>2876.89</v>
          </cell>
          <cell r="G2031">
            <v>2</v>
          </cell>
        </row>
        <row r="2032">
          <cell r="A2032" t="str">
            <v>60-1000212</v>
          </cell>
          <cell r="B2032" t="str">
            <v>BMS, 48V, Tested</v>
          </cell>
          <cell r="E2032">
            <v>3364.5523899999998</v>
          </cell>
          <cell r="G2032">
            <v>113</v>
          </cell>
        </row>
        <row r="2033">
          <cell r="A2033" t="str">
            <v>60-1000304</v>
          </cell>
          <cell r="B2033" t="str">
            <v>PCB ASSY, MC ESP</v>
          </cell>
          <cell r="E2033">
            <v>178.17078000000001</v>
          </cell>
          <cell r="G2033">
            <v>27</v>
          </cell>
        </row>
        <row r="2034">
          <cell r="A2034" t="str">
            <v>60-1000455</v>
          </cell>
          <cell r="B2034" t="str">
            <v>PCB ASSY, MC LTE</v>
          </cell>
          <cell r="E2034">
            <v>393.10323</v>
          </cell>
          <cell r="G2034">
            <v>73</v>
          </cell>
        </row>
        <row r="2035">
          <cell r="A2035" t="str">
            <v>60-1000456</v>
          </cell>
          <cell r="B2035" t="str">
            <v>PCB ASSY, MC BASE TESTED</v>
          </cell>
          <cell r="E2035">
            <v>607.29746</v>
          </cell>
          <cell r="G2035">
            <v>37</v>
          </cell>
        </row>
        <row r="2036">
          <cell r="A2036" t="str">
            <v>60-1000537</v>
          </cell>
          <cell r="B2036" t="str">
            <v>PCB ASSY, DC, FAN CONTROLLER, TESTED</v>
          </cell>
          <cell r="E2036">
            <v>83.83</v>
          </cell>
          <cell r="G2036">
            <v>0</v>
          </cell>
        </row>
        <row r="2037">
          <cell r="A2037" t="str">
            <v>60-1000560</v>
          </cell>
          <cell r="B2037" t="str">
            <v>AC BYPASS BOARD, ASSEMBLY</v>
          </cell>
          <cell r="E2037">
            <v>0</v>
          </cell>
          <cell r="G2037">
            <v>0</v>
          </cell>
        </row>
        <row r="2038">
          <cell r="A2038" t="str">
            <v>60-1001003</v>
          </cell>
          <cell r="B2038" t="str">
            <v>PCB ASSY, POWER BUTTON</v>
          </cell>
          <cell r="E2038">
            <v>0</v>
          </cell>
          <cell r="G2038">
            <v>280</v>
          </cell>
        </row>
        <row r="2039">
          <cell r="A2039" t="str">
            <v>62-1000053</v>
          </cell>
          <cell r="B2039" t="str">
            <v>B24 Battery Pack</v>
          </cell>
          <cell r="E2039">
            <v>9835.2476900000001</v>
          </cell>
          <cell r="G2039">
            <v>0</v>
          </cell>
        </row>
        <row r="2040">
          <cell r="A2040" t="str">
            <v>62-1000193</v>
          </cell>
          <cell r="B2040" t="str">
            <v>Faraday, DB Assembly</v>
          </cell>
          <cell r="E2040">
            <v>2933.99</v>
          </cell>
          <cell r="G2040">
            <v>11</v>
          </cell>
        </row>
        <row r="2041">
          <cell r="A2041" t="str">
            <v>62-1000194</v>
          </cell>
          <cell r="B2041" t="str">
            <v>FARADAY, GLAND PLATE ASSEMBLY</v>
          </cell>
          <cell r="E2041">
            <v>686.19682999999998</v>
          </cell>
          <cell r="G2041">
            <v>60</v>
          </cell>
        </row>
        <row r="2042">
          <cell r="A2042" t="str">
            <v>62-1000195</v>
          </cell>
          <cell r="B2042" t="str">
            <v>Faraday, Base Assembly</v>
          </cell>
          <cell r="E2042">
            <v>9806.7947999999997</v>
          </cell>
          <cell r="G2042">
            <v>0</v>
          </cell>
        </row>
        <row r="2043">
          <cell r="A2043" t="str">
            <v>62-1000196</v>
          </cell>
          <cell r="B2043" t="str">
            <v>Faraday, Sub Assembly</v>
          </cell>
          <cell r="E2043">
            <v>15586.7</v>
          </cell>
          <cell r="G2043">
            <v>0</v>
          </cell>
        </row>
        <row r="2044">
          <cell r="A2044" t="str">
            <v>62-1000197</v>
          </cell>
          <cell r="B2044" t="str">
            <v>AKIRA, GLAND PLATE, ASSEMBLY</v>
          </cell>
          <cell r="E2044">
            <v>613.06636000000003</v>
          </cell>
          <cell r="G2044">
            <v>0</v>
          </cell>
        </row>
        <row r="2045">
          <cell r="A2045" t="str">
            <v>62-1000198</v>
          </cell>
          <cell r="B2045" t="str">
            <v>Akira, Base Assembly</v>
          </cell>
          <cell r="E2045">
            <v>2312.7559999999999</v>
          </cell>
          <cell r="G2045">
            <v>0</v>
          </cell>
        </row>
        <row r="2046">
          <cell r="A2046" t="str">
            <v>62-1000199</v>
          </cell>
          <cell r="B2046" t="str">
            <v>Akira, Sub Assembly</v>
          </cell>
          <cell r="E2046">
            <v>3910.91</v>
          </cell>
          <cell r="G2046">
            <v>0</v>
          </cell>
        </row>
        <row r="2047">
          <cell r="A2047" t="str">
            <v>62-1000200</v>
          </cell>
          <cell r="B2047" t="str">
            <v>Volta 2K, DB Assembly</v>
          </cell>
          <cell r="E2047">
            <v>2115.84</v>
          </cell>
          <cell r="G2047">
            <v>0</v>
          </cell>
        </row>
        <row r="2048">
          <cell r="A2048" t="str">
            <v>62-1000202</v>
          </cell>
          <cell r="B2048" t="str">
            <v>Volta 2K, Base Assembly</v>
          </cell>
          <cell r="E2048">
            <v>3807.0039999999999</v>
          </cell>
          <cell r="G2048">
            <v>0</v>
          </cell>
        </row>
        <row r="2049">
          <cell r="A2049" t="str">
            <v>62-1000203</v>
          </cell>
          <cell r="B2049" t="str">
            <v>Volta 2K, Sub Assembly</v>
          </cell>
          <cell r="E2049">
            <v>11969.05</v>
          </cell>
          <cell r="G2049">
            <v>0</v>
          </cell>
        </row>
        <row r="2050">
          <cell r="A2050" t="str">
            <v>62-1000204</v>
          </cell>
          <cell r="B2050" t="str">
            <v>B24 Cell Assembly</v>
          </cell>
          <cell r="E2050">
            <v>6444.21</v>
          </cell>
          <cell r="G2050">
            <v>0</v>
          </cell>
        </row>
        <row r="2051">
          <cell r="A2051" t="str">
            <v>62-1000205</v>
          </cell>
          <cell r="B2051" t="str">
            <v>B48 CELL ASSEMBLY</v>
          </cell>
          <cell r="E2051">
            <v>12723.66</v>
          </cell>
          <cell r="G2051">
            <v>0</v>
          </cell>
        </row>
        <row r="2052">
          <cell r="A2052" t="str">
            <v>62-1000260</v>
          </cell>
          <cell r="B2052" t="str">
            <v>MARCONI CONNECT, FARADAY</v>
          </cell>
          <cell r="E2052">
            <v>0</v>
          </cell>
          <cell r="G2052">
            <v>0</v>
          </cell>
        </row>
        <row r="2053">
          <cell r="A2053" t="str">
            <v>62-1000377</v>
          </cell>
          <cell r="B2053" t="str">
            <v>MARCONI CONNECT, VOLTA 2K</v>
          </cell>
          <cell r="E2053">
            <v>0</v>
          </cell>
          <cell r="G2053">
            <v>0</v>
          </cell>
        </row>
        <row r="2054">
          <cell r="A2054" t="str">
            <v>62-1000455</v>
          </cell>
          <cell r="B2054" t="str">
            <v>PCB Assy, MC LTE</v>
          </cell>
          <cell r="E2054">
            <v>0</v>
          </cell>
          <cell r="G2054">
            <v>0</v>
          </cell>
        </row>
        <row r="2055">
          <cell r="A2055" t="str">
            <v>62-1000466</v>
          </cell>
          <cell r="B2055" t="str">
            <v xml:space="preserve">VOLTA 500, FRONT PANEL, ASSEMBLY </v>
          </cell>
          <cell r="E2055">
            <v>56.824919999999999</v>
          </cell>
          <cell r="G2055">
            <v>297</v>
          </cell>
        </row>
        <row r="2056">
          <cell r="A2056" t="str">
            <v>62-1000467</v>
          </cell>
          <cell r="B2056" t="str">
            <v xml:space="preserve">VOLTA 500, REAR PANEL, ASSEMBLY </v>
          </cell>
          <cell r="E2056">
            <v>249.13380000000001</v>
          </cell>
          <cell r="G2056">
            <v>287</v>
          </cell>
        </row>
        <row r="2057">
          <cell r="A2057" t="str">
            <v>62-1000468</v>
          </cell>
          <cell r="B2057" t="str">
            <v xml:space="preserve">VOLTA 500, SIDET PANEL-A, ASSEMBLY </v>
          </cell>
          <cell r="E2057">
            <v>138.18279999999999</v>
          </cell>
          <cell r="G2057">
            <v>0</v>
          </cell>
        </row>
        <row r="2058">
          <cell r="A2058" t="str">
            <v>62-1000469</v>
          </cell>
          <cell r="B2058" t="str">
            <v xml:space="preserve">VOLTA 500, SIDET PANEL-B, ASSEMBLY </v>
          </cell>
          <cell r="E2058">
            <v>142.5564</v>
          </cell>
          <cell r="G2058">
            <v>0</v>
          </cell>
        </row>
        <row r="2059">
          <cell r="A2059" t="str">
            <v>62-1000485</v>
          </cell>
          <cell r="B2059" t="str">
            <v>VOLTA 500, SUB ASSEMBLY</v>
          </cell>
          <cell r="E2059">
            <v>5955.92</v>
          </cell>
          <cell r="G2059">
            <v>0</v>
          </cell>
        </row>
        <row r="2060">
          <cell r="A2060" t="str">
            <v>62-1000521</v>
          </cell>
          <cell r="B2060" t="str">
            <v>CHARGER, 20A, DC, ASSEMBLY</v>
          </cell>
          <cell r="E2060">
            <v>539.23888999999997</v>
          </cell>
          <cell r="G2060">
            <v>9</v>
          </cell>
        </row>
        <row r="2061">
          <cell r="A2061" t="str">
            <v>62-1000622</v>
          </cell>
          <cell r="B2061" t="str">
            <v>SUB-DB, 8WAY, POPULATED, 20A</v>
          </cell>
          <cell r="E2061">
            <v>1044.5544</v>
          </cell>
          <cell r="G2061">
            <v>97</v>
          </cell>
        </row>
        <row r="2062">
          <cell r="A2062" t="str">
            <v>62-1000623</v>
          </cell>
          <cell r="B2062" t="str">
            <v>SUB-DB, 18WAY, POPULATED, 63A</v>
          </cell>
          <cell r="E2062">
            <v>1674.03088</v>
          </cell>
          <cell r="G2062">
            <v>156</v>
          </cell>
        </row>
        <row r="2063">
          <cell r="A2063" t="str">
            <v>62-1000662</v>
          </cell>
          <cell r="B2063" t="str">
            <v>FARADAY 6K, DB ASSEMBLY</v>
          </cell>
          <cell r="E2063">
            <v>2337.4499999999998</v>
          </cell>
          <cell r="G2063">
            <v>0</v>
          </cell>
        </row>
        <row r="2064">
          <cell r="A2064" t="str">
            <v>62-1000663</v>
          </cell>
          <cell r="B2064" t="str">
            <v>FARADAY 6K, BASE ASSEMBLY</v>
          </cell>
          <cell r="E2064">
            <v>17786.92282</v>
          </cell>
          <cell r="G2064">
            <v>0</v>
          </cell>
        </row>
        <row r="2065">
          <cell r="A2065" t="str">
            <v>62-1000664</v>
          </cell>
          <cell r="B2065" t="str">
            <v>Faraday 6K, Sub Assembly</v>
          </cell>
          <cell r="E2065">
            <v>19941.330000000002</v>
          </cell>
          <cell r="G2065">
            <v>0</v>
          </cell>
        </row>
        <row r="2066">
          <cell r="A2066" t="str">
            <v>62-1000665</v>
          </cell>
          <cell r="B2066" t="str">
            <v>FARADAY 6K, SUB ASSEMBLY</v>
          </cell>
          <cell r="E2066">
            <v>0</v>
          </cell>
          <cell r="G2066">
            <v>0</v>
          </cell>
        </row>
        <row r="2067">
          <cell r="A2067" t="str">
            <v>62-1000688</v>
          </cell>
          <cell r="B2067" t="str">
            <v>INTERIM CONTROLLER, VOLTA 2K</v>
          </cell>
          <cell r="E2067">
            <v>505.90463</v>
          </cell>
          <cell r="G2067">
            <v>505</v>
          </cell>
        </row>
        <row r="2068">
          <cell r="A2068" t="str">
            <v>62-1000690</v>
          </cell>
          <cell r="B2068" t="str">
            <v>INTERIM CONTROLLER, FARADAY</v>
          </cell>
          <cell r="E2068">
            <v>524.49527999999998</v>
          </cell>
          <cell r="G2068">
            <v>140</v>
          </cell>
        </row>
        <row r="2069">
          <cell r="A2069" t="str">
            <v>62-1000764</v>
          </cell>
          <cell r="B2069" t="str">
            <v>INTERIM CONTROLLER, FARADAY 6K</v>
          </cell>
          <cell r="E2069">
            <v>0</v>
          </cell>
          <cell r="G2069">
            <v>0</v>
          </cell>
        </row>
        <row r="2070">
          <cell r="A2070" t="str">
            <v>62-1000857</v>
          </cell>
          <cell r="B2070" t="str">
            <v>Sub-DB, 12Way, Populated, 63A</v>
          </cell>
          <cell r="E2070">
            <v>1488.8207299999999</v>
          </cell>
          <cell r="G2070">
            <v>339</v>
          </cell>
        </row>
        <row r="2071">
          <cell r="A2071" t="str">
            <v>62-1000865</v>
          </cell>
          <cell r="B2071" t="str">
            <v xml:space="preserve">VOLTA 6K, DB ASSEMBLY </v>
          </cell>
          <cell r="E2071">
            <v>2526.6544199999998</v>
          </cell>
          <cell r="G2071">
            <v>52</v>
          </cell>
        </row>
        <row r="2072">
          <cell r="A2072" t="str">
            <v>62-1000866</v>
          </cell>
          <cell r="B2072" t="str">
            <v>VOLTA 6K, BASE ASSEMBLY</v>
          </cell>
          <cell r="E2072">
            <v>5774.2039999999997</v>
          </cell>
          <cell r="G2072">
            <v>0</v>
          </cell>
        </row>
        <row r="2073">
          <cell r="A2073" t="str">
            <v>62-1000868</v>
          </cell>
          <cell r="B2073" t="str">
            <v xml:space="preserve">VOLTA 6K, SUB ASSEMBLY </v>
          </cell>
          <cell r="E2073">
            <v>17883.38</v>
          </cell>
          <cell r="G2073">
            <v>0</v>
          </cell>
        </row>
        <row r="2074">
          <cell r="A2074" t="str">
            <v>62-1000908</v>
          </cell>
          <cell r="B2074" t="str">
            <v>8S BATTERY, STRAPPED</v>
          </cell>
          <cell r="E2074">
            <v>5305.55</v>
          </cell>
          <cell r="G2074">
            <v>0</v>
          </cell>
        </row>
        <row r="2075">
          <cell r="A2075" t="str">
            <v>62-1000925</v>
          </cell>
          <cell r="B2075" t="str">
            <v>Galvani, Sub Assembly, Horizontal</v>
          </cell>
          <cell r="E2075">
            <v>13653.59</v>
          </cell>
          <cell r="G2075">
            <v>0</v>
          </cell>
        </row>
        <row r="2076">
          <cell r="A2076" t="str">
            <v>62-1000940</v>
          </cell>
          <cell r="B2076" t="str">
            <v>Galvani, Cell Assembly, Horizontal</v>
          </cell>
          <cell r="E2076">
            <v>10634.03</v>
          </cell>
          <cell r="G2076">
            <v>0</v>
          </cell>
        </row>
        <row r="2077">
          <cell r="A2077" t="str">
            <v>62-1000941</v>
          </cell>
          <cell r="B2077" t="str">
            <v>Galvani, Cell Assembly, Vertical</v>
          </cell>
          <cell r="E2077">
            <v>11255.27</v>
          </cell>
          <cell r="G2077">
            <v>0</v>
          </cell>
        </row>
        <row r="2078">
          <cell r="A2078" t="str">
            <v>62-1000946</v>
          </cell>
          <cell r="B2078" t="str">
            <v>Galvani, Sub Assembly, Vertical</v>
          </cell>
          <cell r="E2078">
            <v>13252.8</v>
          </cell>
          <cell r="G2078">
            <v>39</v>
          </cell>
        </row>
        <row r="2079">
          <cell r="A2079" t="str">
            <v>62-1000975</v>
          </cell>
          <cell r="B2079" t="str">
            <v>Power Distribution Panel, Q2-3</v>
          </cell>
          <cell r="E2079">
            <v>48905.665229999999</v>
          </cell>
          <cell r="G2079">
            <v>0</v>
          </cell>
        </row>
        <row r="2080">
          <cell r="A2080" t="str">
            <v>62-1000975-X</v>
          </cell>
          <cell r="B2080" t="str">
            <v>Power Distribution Panel, Q1-3</v>
          </cell>
          <cell r="E2080">
            <v>48905.665229999999</v>
          </cell>
          <cell r="G2080">
            <v>4</v>
          </cell>
        </row>
        <row r="2081">
          <cell r="A2081" t="str">
            <v>62-1000977</v>
          </cell>
          <cell r="B2081" t="str">
            <v>Power Distribution Panel, Q4-6</v>
          </cell>
          <cell r="E2081">
            <v>74830.559999999998</v>
          </cell>
          <cell r="G2081">
            <v>0</v>
          </cell>
        </row>
        <row r="2082">
          <cell r="A2082" t="str">
            <v>62-1000977-X</v>
          </cell>
          <cell r="B2082" t="str">
            <v>Power Distribution Panel, Q4-6</v>
          </cell>
          <cell r="E2082">
            <v>74830.559999999998</v>
          </cell>
          <cell r="G2082">
            <v>14</v>
          </cell>
        </row>
        <row r="2083">
          <cell r="A2083" t="str">
            <v>62-1000978</v>
          </cell>
          <cell r="B2083" t="str">
            <v>Parallel cabinet upto 10 model q systems</v>
          </cell>
          <cell r="E2083">
            <v>197577.45785999999</v>
          </cell>
          <cell r="G2083">
            <v>0</v>
          </cell>
        </row>
        <row r="2084">
          <cell r="A2084" t="str">
            <v>62-1000981</v>
          </cell>
          <cell r="B2084" t="str">
            <v>Marconi Connect</v>
          </cell>
          <cell r="E2084">
            <v>1167.0417600000001</v>
          </cell>
          <cell r="G2084">
            <v>206</v>
          </cell>
        </row>
        <row r="2085">
          <cell r="A2085" t="str">
            <v>62-1001001</v>
          </cell>
          <cell r="B2085" t="str">
            <v xml:space="preserve">VOLTA 3K, SUB ASSEMBLY </v>
          </cell>
          <cell r="E2085">
            <v>14585.12</v>
          </cell>
          <cell r="G2085">
            <v>0</v>
          </cell>
        </row>
        <row r="2086">
          <cell r="A2086" t="str">
            <v>62-1001047</v>
          </cell>
          <cell r="B2086" t="str">
            <v>Galvani, BMS Assembly</v>
          </cell>
          <cell r="E2086">
            <v>1980.55</v>
          </cell>
          <cell r="G2086">
            <v>0</v>
          </cell>
        </row>
        <row r="2087">
          <cell r="A2087" t="str">
            <v>62-1001158</v>
          </cell>
          <cell r="B2087" t="str">
            <v>Genoa 5K, Base Assembly</v>
          </cell>
          <cell r="E2087">
            <v>7815.8368</v>
          </cell>
          <cell r="G2087">
            <v>0</v>
          </cell>
        </row>
        <row r="2088">
          <cell r="A2088" t="str">
            <v>62-1001159</v>
          </cell>
          <cell r="B2088" t="str">
            <v xml:space="preserve">Genoa 5K, Sub Assembly </v>
          </cell>
          <cell r="E2088">
            <v>29051.69</v>
          </cell>
          <cell r="G2088">
            <v>25</v>
          </cell>
        </row>
        <row r="2089">
          <cell r="A2089" t="str">
            <v>62-1001167</v>
          </cell>
          <cell r="B2089" t="str">
            <v>Sub-DB, 18Way, Populated, 80A</v>
          </cell>
          <cell r="E2089">
            <v>1936.08863</v>
          </cell>
          <cell r="G2089">
            <v>52</v>
          </cell>
        </row>
        <row r="2090">
          <cell r="A2090" t="str">
            <v>62-1001171</v>
          </cell>
          <cell r="B2090" t="str">
            <v>Sub-DB, 3x18Way, Populated, 63A, 3-Phase</v>
          </cell>
          <cell r="E2090">
            <v>4178.4073699999999</v>
          </cell>
          <cell r="G2090">
            <v>13</v>
          </cell>
        </row>
        <row r="2091">
          <cell r="A2091" t="str">
            <v>62-1001186</v>
          </cell>
          <cell r="B2091" t="str">
            <v>Faraday 15K, Sub Assembly</v>
          </cell>
          <cell r="E2091">
            <v>19852.509999999998</v>
          </cell>
          <cell r="G2091">
            <v>0</v>
          </cell>
        </row>
        <row r="2092">
          <cell r="A2092" t="str">
            <v>62-1001187</v>
          </cell>
          <cell r="B2092" t="str">
            <v>Faraday 15K, Base Assembly</v>
          </cell>
          <cell r="E2092">
            <v>13762.200999999999</v>
          </cell>
          <cell r="G2092">
            <v>0</v>
          </cell>
        </row>
        <row r="2093">
          <cell r="A2093" t="str">
            <v>62-1001188</v>
          </cell>
          <cell r="B2093" t="str">
            <v>Faraday 15K, DB Assembly</v>
          </cell>
          <cell r="E2093">
            <v>5291.83</v>
          </cell>
          <cell r="G2093">
            <v>0</v>
          </cell>
        </row>
        <row r="2094">
          <cell r="A2094" t="str">
            <v>62-1001226</v>
          </cell>
          <cell r="B2094" t="str">
            <v>Faraday 15K, Glandplate, Assembly</v>
          </cell>
          <cell r="E2094">
            <v>1181.0184999999999</v>
          </cell>
          <cell r="G2094">
            <v>20</v>
          </cell>
        </row>
        <row r="2095">
          <cell r="A2095" t="str">
            <v>62-1001259</v>
          </cell>
          <cell r="B2095" t="str">
            <v>Interim Controller, Faraday 15K</v>
          </cell>
          <cell r="E2095">
            <v>617.74</v>
          </cell>
          <cell r="G2095">
            <v>3</v>
          </cell>
        </row>
        <row r="2096">
          <cell r="A2096" t="str">
            <v>62-1001275</v>
          </cell>
          <cell r="B2096" t="str">
            <v>Q-Cabinet, Controller Ensclosure, Type A</v>
          </cell>
          <cell r="E2096">
            <v>7079.46</v>
          </cell>
          <cell r="G2096">
            <v>3</v>
          </cell>
        </row>
        <row r="2097">
          <cell r="A2097" t="str">
            <v>62-1001286</v>
          </cell>
          <cell r="B2097" t="str">
            <v>TBB, Qoma System, PDP - Q2, Simplified</v>
          </cell>
          <cell r="E2097">
            <v>0</v>
          </cell>
          <cell r="G2097">
            <v>0</v>
          </cell>
        </row>
        <row r="2098">
          <cell r="A2098" t="str">
            <v>62-1001303</v>
          </cell>
          <cell r="B2098" t="str">
            <v>Sub-DB, 3x18Way, Populated, 63A, 3-Phase Large</v>
          </cell>
          <cell r="E2098">
            <v>0</v>
          </cell>
          <cell r="G2098">
            <v>0</v>
          </cell>
        </row>
        <row r="2099">
          <cell r="A2099" t="str">
            <v>62-1001304</v>
          </cell>
          <cell r="B2099" t="str">
            <v>AC Connection Box, Changeover</v>
          </cell>
          <cell r="E2099">
            <v>0</v>
          </cell>
          <cell r="G2099">
            <v>0</v>
          </cell>
        </row>
        <row r="2100">
          <cell r="A2100" t="str">
            <v>62-1001305</v>
          </cell>
          <cell r="B2100" t="str">
            <v>Panel, Metering, Type A</v>
          </cell>
          <cell r="E2100">
            <v>0</v>
          </cell>
          <cell r="G2100">
            <v>0</v>
          </cell>
        </row>
        <row r="2101">
          <cell r="A2101" t="str">
            <v>62-1001310</v>
          </cell>
          <cell r="B2101" t="str">
            <v>AC Connection Box, Q1-3, 320A</v>
          </cell>
          <cell r="E2101">
            <v>0</v>
          </cell>
          <cell r="G2101">
            <v>0</v>
          </cell>
        </row>
        <row r="2102">
          <cell r="A2102" t="str">
            <v>62-1001332</v>
          </cell>
          <cell r="B2102" t="str">
            <v>AC Connection Box, Q4-6, 630A</v>
          </cell>
          <cell r="E2102">
            <v>0</v>
          </cell>
          <cell r="G2102">
            <v>0</v>
          </cell>
        </row>
        <row r="2103">
          <cell r="A2103" t="str">
            <v>62-1001337</v>
          </cell>
          <cell r="B2103" t="str">
            <v>Combiner box, DC, 4 input x 4 output, Type1+2 Surge Arrestor, 20A</v>
          </cell>
          <cell r="E2103">
            <v>9886.43</v>
          </cell>
          <cell r="G2103">
            <v>11</v>
          </cell>
        </row>
        <row r="2104">
          <cell r="A2104" t="str">
            <v>62-1001418</v>
          </cell>
          <cell r="B2104" t="str">
            <v>Faraday 15KT, Sub Assembly</v>
          </cell>
          <cell r="E2104">
            <v>21272.16</v>
          </cell>
          <cell r="G2104">
            <v>0</v>
          </cell>
        </row>
        <row r="2105">
          <cell r="A2105" t="str">
            <v>62-1001419</v>
          </cell>
          <cell r="B2105" t="str">
            <v>Faraday 15KT, Base Assembly</v>
          </cell>
          <cell r="E2105">
            <v>16120.13</v>
          </cell>
          <cell r="G2105">
            <v>0</v>
          </cell>
        </row>
        <row r="2106">
          <cell r="A2106" t="str">
            <v>62-1001420</v>
          </cell>
          <cell r="B2106" t="str">
            <v>Faraday 15KT, DB Assembly</v>
          </cell>
          <cell r="E2106">
            <v>5966.2691699999996</v>
          </cell>
          <cell r="G2106">
            <v>24</v>
          </cell>
        </row>
        <row r="2107">
          <cell r="A2107" t="str">
            <v>62-1001445</v>
          </cell>
          <cell r="B2107" t="str">
            <v>Genoa 5K, DB Assembly</v>
          </cell>
          <cell r="E2107">
            <v>2880.0767999999998</v>
          </cell>
          <cell r="G2107">
            <v>0</v>
          </cell>
        </row>
        <row r="2108">
          <cell r="A2108" t="str">
            <v>62-1001475</v>
          </cell>
          <cell r="B2108" t="str">
            <v>E4 Controller, Type A</v>
          </cell>
          <cell r="E2108">
            <v>1940.96</v>
          </cell>
          <cell r="G2108">
            <v>0</v>
          </cell>
        </row>
        <row r="2109">
          <cell r="A2109" t="str">
            <v>62-1001490</v>
          </cell>
          <cell r="B2109" t="str">
            <v>Repono 48, Cell, Assembly, Strapped</v>
          </cell>
          <cell r="E2109">
            <v>11031.92</v>
          </cell>
          <cell r="G2109">
            <v>0</v>
          </cell>
        </row>
        <row r="2110">
          <cell r="A2110" t="str">
            <v>62-1001492</v>
          </cell>
          <cell r="B2110" t="str">
            <v xml:space="preserve">Cable Assy, Sofar 6KTLM-G3 coms </v>
          </cell>
          <cell r="E2110">
            <v>9.32</v>
          </cell>
          <cell r="G2110">
            <v>0</v>
          </cell>
        </row>
        <row r="2111">
          <cell r="A2111" t="str">
            <v>62-1001524</v>
          </cell>
          <cell r="B2111" t="str">
            <v>E4 Controller, Type B</v>
          </cell>
          <cell r="E2111">
            <v>1922.25</v>
          </cell>
          <cell r="G2111">
            <v>0</v>
          </cell>
        </row>
        <row r="2112">
          <cell r="A2112" t="str">
            <v>62-1001608</v>
          </cell>
          <cell r="B2112" t="str">
            <v>Sub-DB, Gramme, Type A</v>
          </cell>
          <cell r="E2112">
            <v>9730.9266700000007</v>
          </cell>
          <cell r="G2112">
            <v>3</v>
          </cell>
        </row>
        <row r="2113">
          <cell r="A2113" t="str">
            <v>62-1001609</v>
          </cell>
          <cell r="B2113" t="str">
            <v>Grid Metering Box, Gramme</v>
          </cell>
          <cell r="E2113">
            <v>4224.43</v>
          </cell>
          <cell r="G2113">
            <v>3</v>
          </cell>
        </row>
        <row r="2114">
          <cell r="A2114" t="str">
            <v>62-1001610</v>
          </cell>
          <cell r="B2114" t="str">
            <v>Non-Essential Metering Box, Gramme</v>
          </cell>
          <cell r="E2114">
            <v>3025.69</v>
          </cell>
          <cell r="G2114">
            <v>63</v>
          </cell>
        </row>
        <row r="2115">
          <cell r="A2115" t="str">
            <v>62-1001613</v>
          </cell>
          <cell r="B2115" t="str">
            <v>TBB, Qoma System, PDP - Q2, Simplified</v>
          </cell>
          <cell r="E2115">
            <v>2674.7159999999999</v>
          </cell>
          <cell r="G2115">
            <v>0</v>
          </cell>
        </row>
        <row r="2116">
          <cell r="A2116" t="str">
            <v>62-1001659</v>
          </cell>
          <cell r="B2116" t="str">
            <v>Battery Cluster, Q Cabinet</v>
          </cell>
          <cell r="E2116">
            <v>182971.03521</v>
          </cell>
          <cell r="G2116">
            <v>91</v>
          </cell>
        </row>
        <row r="2117">
          <cell r="A2117" t="str">
            <v>62-1001817</v>
          </cell>
          <cell r="B2117" t="str">
            <v>Morley Panel</v>
          </cell>
          <cell r="E2117">
            <v>4519.97</v>
          </cell>
          <cell r="G2117">
            <v>5</v>
          </cell>
        </row>
        <row r="2118">
          <cell r="A2118" t="str">
            <v>62-1001818</v>
          </cell>
          <cell r="B2118" t="str">
            <v xml:space="preserve">AC Connection Box, B1, Solar Only </v>
          </cell>
          <cell r="E2118">
            <v>0</v>
          </cell>
          <cell r="G2118">
            <v>2</v>
          </cell>
        </row>
        <row r="2119">
          <cell r="A2119" t="str">
            <v>62-1001819</v>
          </cell>
          <cell r="B2119" t="str">
            <v>Grid Metering Box, Type B</v>
          </cell>
          <cell r="E2119">
            <v>6237.72</v>
          </cell>
          <cell r="G2119">
            <v>5</v>
          </cell>
        </row>
        <row r="2120">
          <cell r="A2120" t="str">
            <v>62-1001856</v>
          </cell>
          <cell r="B2120" t="str">
            <v>Gramme, PDU, MQ10, Flash Cover, Top Assy</v>
          </cell>
          <cell r="E2120">
            <v>0</v>
          </cell>
          <cell r="G2120">
            <v>0</v>
          </cell>
        </row>
        <row r="2121">
          <cell r="A2121" t="str">
            <v>62-1001864</v>
          </cell>
          <cell r="B2121" t="str">
            <v xml:space="preserve">AC Connection Box, B2-3, Solar Only </v>
          </cell>
          <cell r="E2121">
            <v>0</v>
          </cell>
          <cell r="G2121">
            <v>0</v>
          </cell>
        </row>
        <row r="2122">
          <cell r="A2122" t="str">
            <v>62-1001865</v>
          </cell>
          <cell r="B2122" t="str">
            <v xml:space="preserve">AC Connection Box, B4-6, Solar Only </v>
          </cell>
          <cell r="E2122">
            <v>0</v>
          </cell>
          <cell r="G2122">
            <v>0</v>
          </cell>
        </row>
        <row r="2123">
          <cell r="A2123" t="str">
            <v>62-1001866</v>
          </cell>
          <cell r="B2123" t="str">
            <v xml:space="preserve">AC Connection Box, B7-10, Solar Only </v>
          </cell>
          <cell r="E2123">
            <v>0</v>
          </cell>
          <cell r="G2123">
            <v>0</v>
          </cell>
        </row>
        <row r="2124">
          <cell r="A2124" t="str">
            <v>62-1001884</v>
          </cell>
          <cell r="B2124" t="str">
            <v>Enclosure, PUC, 125A</v>
          </cell>
          <cell r="E2124">
            <v>13725.76</v>
          </cell>
          <cell r="G2124">
            <v>5</v>
          </cell>
        </row>
        <row r="2125">
          <cell r="A2125" t="str">
            <v>62-1001885</v>
          </cell>
          <cell r="B2125" t="str">
            <v>Enclosure, PUC, 250A</v>
          </cell>
          <cell r="E2125">
            <v>14121.07</v>
          </cell>
          <cell r="G2125">
            <v>5</v>
          </cell>
        </row>
        <row r="2126">
          <cell r="A2126" t="str">
            <v>62-1001886</v>
          </cell>
          <cell r="B2126" t="str">
            <v>Enclosure, PUC, 400A</v>
          </cell>
          <cell r="E2126">
            <v>23628.42</v>
          </cell>
          <cell r="G2126">
            <v>5</v>
          </cell>
        </row>
        <row r="2127">
          <cell r="A2127" t="str">
            <v>62-1001887</v>
          </cell>
          <cell r="B2127" t="str">
            <v>Enclosure, PUC, 630A</v>
          </cell>
          <cell r="E2127">
            <v>32111.599999999999</v>
          </cell>
          <cell r="G2127">
            <v>5</v>
          </cell>
        </row>
        <row r="2128">
          <cell r="A2128" t="str">
            <v>62-1001888</v>
          </cell>
          <cell r="B2128" t="str">
            <v>Enclosure, PUC, 1000A</v>
          </cell>
          <cell r="E2128">
            <v>55407.42</v>
          </cell>
          <cell r="G2128">
            <v>2</v>
          </cell>
        </row>
        <row r="2129">
          <cell r="A2129" t="str">
            <v>62-1001906</v>
          </cell>
          <cell r="B2129" t="str">
            <v xml:space="preserve">Genoa 3K, DB Assembly </v>
          </cell>
          <cell r="E2129">
            <v>0</v>
          </cell>
          <cell r="G2129">
            <v>0</v>
          </cell>
        </row>
        <row r="2130">
          <cell r="A2130" t="str">
            <v>62-1001907</v>
          </cell>
          <cell r="B2130" t="str">
            <v>Genoa 3K, Base Assembly</v>
          </cell>
          <cell r="E2130">
            <v>0</v>
          </cell>
          <cell r="G2130">
            <v>0</v>
          </cell>
        </row>
        <row r="2131">
          <cell r="A2131" t="str">
            <v>62-1001908</v>
          </cell>
          <cell r="B2131" t="str">
            <v xml:space="preserve">Genoa 3KG2, Sub Assembly </v>
          </cell>
          <cell r="E2131">
            <v>0</v>
          </cell>
          <cell r="G2131">
            <v>0</v>
          </cell>
        </row>
        <row r="2132">
          <cell r="A2132" t="str">
            <v>62-1001909</v>
          </cell>
          <cell r="B2132" t="str">
            <v xml:space="preserve">Genoa 5KG2, Sub Assembly </v>
          </cell>
          <cell r="E2132">
            <v>0</v>
          </cell>
          <cell r="G2132">
            <v>0</v>
          </cell>
        </row>
        <row r="2133">
          <cell r="A2133" t="str">
            <v>62-1001910</v>
          </cell>
          <cell r="B2133" t="str">
            <v xml:space="preserve">Genoa 6KG2, Sub Assembly </v>
          </cell>
          <cell r="E2133">
            <v>0</v>
          </cell>
          <cell r="G2133">
            <v>0</v>
          </cell>
        </row>
        <row r="2134">
          <cell r="A2134" t="str">
            <v>62-1001911</v>
          </cell>
          <cell r="B2134" t="str">
            <v xml:space="preserve">Genoa 8KG2, Sub Assembly </v>
          </cell>
          <cell r="E2134">
            <v>0</v>
          </cell>
          <cell r="G2134">
            <v>0</v>
          </cell>
        </row>
        <row r="2135">
          <cell r="A2135" t="str">
            <v>62-1002064</v>
          </cell>
          <cell r="B2135" t="str">
            <v>PDU, Q2-3, Reworked</v>
          </cell>
          <cell r="E2135">
            <v>0</v>
          </cell>
          <cell r="G2135">
            <v>0</v>
          </cell>
        </row>
        <row r="2136">
          <cell r="A2136" t="str">
            <v>62-1002065</v>
          </cell>
          <cell r="B2136" t="str">
            <v>PDU, Q4-6, Reworked</v>
          </cell>
          <cell r="E2136">
            <v>0</v>
          </cell>
          <cell r="G2136">
            <v>0</v>
          </cell>
        </row>
        <row r="2137">
          <cell r="A2137" t="str">
            <v>62-1002066</v>
          </cell>
          <cell r="B2137" t="str">
            <v>PDU, Q7-10, Reworked</v>
          </cell>
          <cell r="E2137">
            <v>0</v>
          </cell>
          <cell r="G2137">
            <v>0</v>
          </cell>
        </row>
        <row r="2138">
          <cell r="A2138" t="str">
            <v>62-1002080</v>
          </cell>
          <cell r="B2138" t="str">
            <v>Galvani, Welded Cell Assembly, Vertical</v>
          </cell>
          <cell r="E2138">
            <v>0</v>
          </cell>
          <cell r="G2138">
            <v>0</v>
          </cell>
        </row>
        <row r="2139">
          <cell r="A2139" t="str">
            <v>62-1002081</v>
          </cell>
          <cell r="B2139" t="str">
            <v>Galvani, Welded Cell Assembly, Horizontal</v>
          </cell>
          <cell r="E2139">
            <v>0</v>
          </cell>
          <cell r="G2139">
            <v>0</v>
          </cell>
        </row>
        <row r="2140">
          <cell r="A2140" t="str">
            <v>62-1201120</v>
          </cell>
          <cell r="B2140" t="str">
            <v>FARADAY, DB BOX, ASSEMBLY</v>
          </cell>
          <cell r="E2140">
            <v>446.08920000000001</v>
          </cell>
          <cell r="G2140">
            <v>107</v>
          </cell>
        </row>
        <row r="2141">
          <cell r="A2141" t="str">
            <v>62-1202105</v>
          </cell>
          <cell r="B2141" t="str">
            <v>VOLTA 2K, DB BOX, ASSEMBLY</v>
          </cell>
          <cell r="E2141">
            <v>520.14993000000004</v>
          </cell>
          <cell r="G2141">
            <v>1067</v>
          </cell>
        </row>
        <row r="2142">
          <cell r="A2142" t="str">
            <v>62-2000909</v>
          </cell>
          <cell r="B2142" t="str">
            <v>Q-System Cabinet</v>
          </cell>
          <cell r="E2142">
            <v>41190.325770000003</v>
          </cell>
          <cell r="G2142">
            <v>0</v>
          </cell>
        </row>
        <row r="2143">
          <cell r="A2143" t="str">
            <v>62-2000915</v>
          </cell>
          <cell r="B2143" t="str">
            <v>TBB AC/DC DISTRIBUTION BOARD FOR QOMA SYSTEM - PDP-Q1</v>
          </cell>
          <cell r="E2143">
            <v>8870.4566699999996</v>
          </cell>
          <cell r="G2143">
            <v>85</v>
          </cell>
        </row>
        <row r="2144">
          <cell r="A2144" t="str">
            <v>62-2001607</v>
          </cell>
          <cell r="B2144" t="str">
            <v>TBB, E-Hub, Q Cabinet</v>
          </cell>
          <cell r="E2144">
            <v>5294.8905299999997</v>
          </cell>
          <cell r="G2144">
            <v>49</v>
          </cell>
        </row>
        <row r="2145">
          <cell r="A2145" t="str">
            <v>62-2001612</v>
          </cell>
          <cell r="B2145" t="str">
            <v>TBB, Qoma System, PDP - Q2</v>
          </cell>
          <cell r="E2145">
            <v>8931.1073099999994</v>
          </cell>
          <cell r="G2145">
            <v>0</v>
          </cell>
        </row>
        <row r="2146">
          <cell r="A2146" t="str">
            <v>62-2001613</v>
          </cell>
          <cell r="B2146" t="str">
            <v>TBB, Qoma System, PDP - Q2, Simplified</v>
          </cell>
          <cell r="E2146">
            <v>0</v>
          </cell>
          <cell r="G2146">
            <v>0</v>
          </cell>
        </row>
        <row r="2147">
          <cell r="A2147" t="str">
            <v>625-1000361</v>
          </cell>
          <cell r="B2147" t="str">
            <v>FARADAY, INSTALLATION KIT</v>
          </cell>
          <cell r="E2147">
            <v>118.69082</v>
          </cell>
          <cell r="G2147">
            <v>25</v>
          </cell>
        </row>
        <row r="2148">
          <cell r="A2148" t="str">
            <v>625-1000380</v>
          </cell>
          <cell r="B2148" t="str">
            <v>INSTALLATION KIT, VOLTA 2K</v>
          </cell>
          <cell r="E2148">
            <v>91.050479999999993</v>
          </cell>
          <cell r="G2148">
            <v>5</v>
          </cell>
        </row>
        <row r="2149">
          <cell r="A2149" t="str">
            <v>625-1000384</v>
          </cell>
          <cell r="B2149" t="str">
            <v>Installation Kit, Akira</v>
          </cell>
          <cell r="E2149">
            <v>1258.5706</v>
          </cell>
          <cell r="G2149">
            <v>34</v>
          </cell>
        </row>
        <row r="2150">
          <cell r="A2150" t="str">
            <v>625-1001068</v>
          </cell>
          <cell r="B2150" t="str">
            <v>Accessory Kit, LTE Connectivity</v>
          </cell>
          <cell r="E2150">
            <v>1379.0669700000001</v>
          </cell>
          <cell r="G2150">
            <v>123</v>
          </cell>
        </row>
        <row r="2151">
          <cell r="A2151" t="str">
            <v>625-1001135</v>
          </cell>
          <cell r="B2151" t="str">
            <v>Installation Kit, Faraday E</v>
          </cell>
          <cell r="E2151">
            <v>6079.0685700000004</v>
          </cell>
          <cell r="G2151">
            <v>0</v>
          </cell>
        </row>
        <row r="2152">
          <cell r="A2152" t="str">
            <v>625-1001135-X</v>
          </cell>
          <cell r="B2152" t="str">
            <v>Installation Kit, Faraday E</v>
          </cell>
          <cell r="E2152">
            <v>5931.8416100000004</v>
          </cell>
          <cell r="G2152">
            <v>25</v>
          </cell>
        </row>
        <row r="2153">
          <cell r="A2153" t="str">
            <v>625-1001253</v>
          </cell>
          <cell r="B2153" t="str">
            <v>Installation Kit, Faraday 15K</v>
          </cell>
          <cell r="E2153">
            <v>503.41645999999997</v>
          </cell>
          <cell r="G2153">
            <v>73</v>
          </cell>
        </row>
        <row r="2154">
          <cell r="A2154" t="str">
            <v>625-1001272</v>
          </cell>
          <cell r="B2154" t="str">
            <v>Accessory kit, Gramme, QM</v>
          </cell>
          <cell r="E2154">
            <v>0</v>
          </cell>
          <cell r="G2154">
            <v>0</v>
          </cell>
        </row>
        <row r="2155">
          <cell r="A2155" t="str">
            <v>625-1001274</v>
          </cell>
          <cell r="B2155" t="str">
            <v>Accessory kit, Gramme, QS</v>
          </cell>
          <cell r="E2155">
            <v>0</v>
          </cell>
          <cell r="G2155">
            <v>0</v>
          </cell>
        </row>
        <row r="2156">
          <cell r="A2156" t="str">
            <v>625-1001345</v>
          </cell>
          <cell r="B2156" t="str">
            <v>Installation Kit, Gramme Cabinet</v>
          </cell>
          <cell r="E2156">
            <v>0</v>
          </cell>
          <cell r="G2156">
            <v>1</v>
          </cell>
        </row>
        <row r="2157">
          <cell r="A2157" t="str">
            <v>625-1001501</v>
          </cell>
          <cell r="B2157" t="str">
            <v>Installation Kit, Faraday 15E</v>
          </cell>
          <cell r="E2157">
            <v>3123.125</v>
          </cell>
          <cell r="G2157">
            <v>0</v>
          </cell>
        </row>
        <row r="2158">
          <cell r="A2158" t="str">
            <v>625-1001501-X</v>
          </cell>
          <cell r="B2158" t="str">
            <v>Installation Kit, Faraday 15E</v>
          </cell>
          <cell r="E2158">
            <v>3173.17913</v>
          </cell>
          <cell r="G2158">
            <v>6</v>
          </cell>
        </row>
        <row r="2159">
          <cell r="A2159" t="str">
            <v>625-1001611</v>
          </cell>
          <cell r="B2159" t="str">
            <v>Accessory Kit, Gramme 33K AIO</v>
          </cell>
          <cell r="E2159">
            <v>7459.38</v>
          </cell>
          <cell r="G2159">
            <v>0</v>
          </cell>
        </row>
        <row r="2160">
          <cell r="A2160" t="str">
            <v>625-1001896</v>
          </cell>
          <cell r="B2160" t="str">
            <v>Installation Kit, PUC</v>
          </cell>
          <cell r="E2160">
            <v>0</v>
          </cell>
          <cell r="G2160">
            <v>0</v>
          </cell>
        </row>
        <row r="2161">
          <cell r="A2161" t="str">
            <v>625-2001618</v>
          </cell>
          <cell r="B2161" t="str">
            <v>Accessory Kit, Q Cabinet, TBB</v>
          </cell>
          <cell r="E2161">
            <v>0</v>
          </cell>
          <cell r="G2161">
            <v>0</v>
          </cell>
        </row>
        <row r="2162">
          <cell r="A2162" t="str">
            <v>69-2000642</v>
          </cell>
          <cell r="B2162" t="str">
            <v>COMBINER BOX, DC, 5-1, 100A</v>
          </cell>
          <cell r="E2162">
            <v>3706.0288599999999</v>
          </cell>
          <cell r="G2162">
            <v>171</v>
          </cell>
        </row>
        <row r="2163">
          <cell r="A2163" t="str">
            <v>82-1000665</v>
          </cell>
          <cell r="B2163" t="str">
            <v>FARADAY 6K, GLAND PLATE</v>
          </cell>
          <cell r="E2163">
            <v>245</v>
          </cell>
          <cell r="G2163">
            <v>19</v>
          </cell>
        </row>
        <row r="2164">
          <cell r="A2164" t="str">
            <v>82-1000864</v>
          </cell>
          <cell r="B2164" t="str">
            <v>VOLTA 6K, GLAND PLATE</v>
          </cell>
          <cell r="E2164">
            <v>114.90446</v>
          </cell>
          <cell r="G2164">
            <v>1205</v>
          </cell>
        </row>
        <row r="2165">
          <cell r="A2165" t="str">
            <v>82-1000869</v>
          </cell>
          <cell r="B2165" t="str">
            <v>VOLTA 6K, DB FACEPLATE</v>
          </cell>
          <cell r="E2165">
            <v>163.25</v>
          </cell>
          <cell r="G2165">
            <v>48</v>
          </cell>
        </row>
        <row r="2166">
          <cell r="A2166" t="str">
            <v>82-1000900</v>
          </cell>
          <cell r="B2166" t="str">
            <v>DB PARTITION PLATE</v>
          </cell>
          <cell r="E2166">
            <v>53.066229999999997</v>
          </cell>
          <cell r="G2166">
            <v>510</v>
          </cell>
        </row>
        <row r="2167">
          <cell r="A2167" t="str">
            <v>82-1000916</v>
          </cell>
          <cell r="B2167" t="str">
            <v>REPONO 48, FRONT FACE</v>
          </cell>
          <cell r="E2167">
            <v>78.51979</v>
          </cell>
          <cell r="G2167">
            <v>341</v>
          </cell>
        </row>
        <row r="2168">
          <cell r="A2168" t="str">
            <v>82-1000916-MOD</v>
          </cell>
          <cell r="B2168" t="str">
            <v>REPONO 48, FRONT FACE (MOD)</v>
          </cell>
          <cell r="E2168">
            <v>88.936700000000002</v>
          </cell>
          <cell r="G2168">
            <v>0</v>
          </cell>
        </row>
        <row r="2169">
          <cell r="A2169" t="str">
            <v>82-1000917</v>
          </cell>
          <cell r="B2169" t="str">
            <v>Repono 48, Lid, Horizontal</v>
          </cell>
          <cell r="E2169">
            <v>278.35964000000001</v>
          </cell>
          <cell r="G2169">
            <v>420</v>
          </cell>
        </row>
        <row r="2170">
          <cell r="A2170" t="str">
            <v>82-1000919</v>
          </cell>
          <cell r="B2170" t="str">
            <v>REPONO 48, VERTICAL BASE</v>
          </cell>
          <cell r="E2170">
            <v>550.01379999999995</v>
          </cell>
          <cell r="G2170">
            <v>1073</v>
          </cell>
        </row>
        <row r="2171">
          <cell r="A2171" t="str">
            <v>82-1000922</v>
          </cell>
          <cell r="B2171" t="str">
            <v>REPONO 48, ISOLATOR BRACKET</v>
          </cell>
          <cell r="E2171">
            <v>20.555489999999999</v>
          </cell>
          <cell r="G2171">
            <v>778</v>
          </cell>
        </row>
        <row r="2172">
          <cell r="A2172" t="str">
            <v>82-1000945</v>
          </cell>
          <cell r="B2172" t="str">
            <v>Repono 48, Horizontal Base</v>
          </cell>
          <cell r="E2172">
            <v>479.59</v>
          </cell>
          <cell r="G2172">
            <v>322</v>
          </cell>
        </row>
        <row r="2173">
          <cell r="A2173" t="str">
            <v>82-1000953</v>
          </cell>
          <cell r="B2173" t="str">
            <v>Stand, Floor Mount</v>
          </cell>
          <cell r="E2173">
            <v>1156.3187</v>
          </cell>
          <cell r="G2173">
            <v>115</v>
          </cell>
        </row>
        <row r="2174">
          <cell r="A2174" t="str">
            <v>82-1000956</v>
          </cell>
          <cell r="B2174" t="str">
            <v>REPONO 48, LID, VERTICAL</v>
          </cell>
          <cell r="E2174">
            <v>208.56764999999999</v>
          </cell>
          <cell r="G2174">
            <v>1218</v>
          </cell>
        </row>
        <row r="2175">
          <cell r="A2175" t="str">
            <v>82-1001048</v>
          </cell>
          <cell r="B2175" t="str">
            <v xml:space="preserve">Repono 48, Battery Fastening Angle </v>
          </cell>
          <cell r="E2175">
            <v>19.147469999999998</v>
          </cell>
          <cell r="G2175">
            <v>765</v>
          </cell>
        </row>
        <row r="2176">
          <cell r="A2176" t="str">
            <v>82-1001049</v>
          </cell>
          <cell r="B2176" t="str">
            <v xml:space="preserve">Repono 48, Mid plane </v>
          </cell>
          <cell r="E2176">
            <v>63.140309999999999</v>
          </cell>
          <cell r="G2176">
            <v>1249</v>
          </cell>
        </row>
        <row r="2177">
          <cell r="A2177" t="str">
            <v>82-1001161</v>
          </cell>
          <cell r="B2177" t="str">
            <v>E4 controller cover, Slim</v>
          </cell>
          <cell r="E2177">
            <v>60.175820000000002</v>
          </cell>
          <cell r="G2177">
            <v>159</v>
          </cell>
        </row>
        <row r="2178">
          <cell r="A2178" t="str">
            <v>82-1001189</v>
          </cell>
          <cell r="B2178" t="str">
            <v>Faraday 15K, Base</v>
          </cell>
          <cell r="E2178">
            <v>2942.5490199999999</v>
          </cell>
          <cell r="G2178">
            <v>88</v>
          </cell>
        </row>
        <row r="2179">
          <cell r="A2179" t="str">
            <v>82-1001195</v>
          </cell>
          <cell r="B2179" t="str">
            <v>Faraday 15K, Gland plate</v>
          </cell>
          <cell r="E2179">
            <v>320.37</v>
          </cell>
          <cell r="G2179">
            <v>106</v>
          </cell>
        </row>
        <row r="2180">
          <cell r="A2180" t="str">
            <v>82-1001196</v>
          </cell>
          <cell r="B2180" t="str">
            <v>Faraday 15K, Cover</v>
          </cell>
          <cell r="E2180">
            <v>1738.61</v>
          </cell>
          <cell r="G2180">
            <v>95</v>
          </cell>
        </row>
        <row r="2181">
          <cell r="A2181" t="str">
            <v>82-1001203</v>
          </cell>
          <cell r="B2181" t="str">
            <v>Enclosure Stand, Hanley, Small</v>
          </cell>
          <cell r="E2181">
            <v>850</v>
          </cell>
          <cell r="G2181">
            <v>0</v>
          </cell>
        </row>
        <row r="2182">
          <cell r="A2182" t="str">
            <v>82-1001276</v>
          </cell>
          <cell r="B2182" t="str">
            <v>Controller Enclosure, Type A, Base</v>
          </cell>
          <cell r="E2182">
            <v>341.5</v>
          </cell>
          <cell r="G2182">
            <v>7</v>
          </cell>
        </row>
        <row r="2183">
          <cell r="A2183" t="str">
            <v>82-1001278</v>
          </cell>
          <cell r="B2183" t="str">
            <v>Controller Enclosure, Type A, Front Face</v>
          </cell>
          <cell r="E2183">
            <v>71.3</v>
          </cell>
          <cell r="G2183">
            <v>7</v>
          </cell>
        </row>
        <row r="2184">
          <cell r="A2184" t="str">
            <v>82-1001447</v>
          </cell>
          <cell r="B2184" t="str">
            <v>Faraday 10K, Base</v>
          </cell>
          <cell r="E2184">
            <v>2360.2492299999999</v>
          </cell>
          <cell r="G2184">
            <v>105</v>
          </cell>
        </row>
        <row r="2185">
          <cell r="A2185" t="str">
            <v>82-1001707</v>
          </cell>
          <cell r="B2185" t="str">
            <v>Q Cabinet, Controller Enclosure, Type A, Top</v>
          </cell>
          <cell r="E2185">
            <v>64.55</v>
          </cell>
          <cell r="G2185">
            <v>7</v>
          </cell>
        </row>
        <row r="2186">
          <cell r="A2186" t="str">
            <v>82-1001843</v>
          </cell>
          <cell r="B2186" t="str">
            <v>Gramme, PDU, MQ3, Flash Cover, Top</v>
          </cell>
          <cell r="E2186">
            <v>737.88</v>
          </cell>
          <cell r="G2186">
            <v>0</v>
          </cell>
        </row>
        <row r="2187">
          <cell r="A2187" t="str">
            <v>82-1001844</v>
          </cell>
          <cell r="B2187" t="str">
            <v>Gramme, PDU, MQ3, Flash Cover, Middle</v>
          </cell>
          <cell r="E2187">
            <v>533.95000000000005</v>
          </cell>
          <cell r="G2187">
            <v>0</v>
          </cell>
        </row>
        <row r="2188">
          <cell r="A2188" t="str">
            <v>82-1001845</v>
          </cell>
          <cell r="B2188" t="str">
            <v>Gramme, PDU, MQ3, Flash Cover, Breaker Panel</v>
          </cell>
          <cell r="E2188">
            <v>140.16999999999999</v>
          </cell>
          <cell r="G2188">
            <v>0</v>
          </cell>
        </row>
        <row r="2189">
          <cell r="A2189" t="str">
            <v>82-1001846</v>
          </cell>
          <cell r="B2189" t="str">
            <v>Gramme, PDU, MQ3, Flash Cover, Blanking Panel</v>
          </cell>
          <cell r="E2189">
            <v>228.84</v>
          </cell>
          <cell r="G2189">
            <v>0</v>
          </cell>
        </row>
        <row r="2190">
          <cell r="A2190" t="str">
            <v>82-1001848</v>
          </cell>
          <cell r="B2190" t="str">
            <v>Gramme, PDU, MQ6, Flash Cover, Top</v>
          </cell>
          <cell r="E2190">
            <v>768.1</v>
          </cell>
          <cell r="G2190">
            <v>0</v>
          </cell>
        </row>
        <row r="2191">
          <cell r="A2191" t="str">
            <v>82-1001849</v>
          </cell>
          <cell r="B2191" t="str">
            <v>Gramme, PDU, MQ6, Flash Cover, Middle</v>
          </cell>
          <cell r="E2191">
            <v>622.9</v>
          </cell>
          <cell r="G2191">
            <v>0</v>
          </cell>
        </row>
        <row r="2192">
          <cell r="A2192" t="str">
            <v>82-1001850</v>
          </cell>
          <cell r="B2192" t="str">
            <v>Gramme, PDU, MQ6, Flash Cover, Breaker Panel</v>
          </cell>
          <cell r="E2192">
            <v>288.5</v>
          </cell>
          <cell r="G2192">
            <v>0</v>
          </cell>
        </row>
        <row r="2193">
          <cell r="A2193" t="str">
            <v>82-1001854</v>
          </cell>
          <cell r="B2193" t="str">
            <v>Gramme, PDU, MQ10, Flash Cover, Middle</v>
          </cell>
          <cell r="E2193">
            <v>770.5</v>
          </cell>
          <cell r="G2193">
            <v>2</v>
          </cell>
        </row>
        <row r="2194">
          <cell r="A2194" t="str">
            <v>82-1001855</v>
          </cell>
          <cell r="B2194" t="str">
            <v>Gramme, PDU, MQ10, Flash Cover, Breaker Panel</v>
          </cell>
          <cell r="E2194">
            <v>399.2</v>
          </cell>
          <cell r="G2194">
            <v>2</v>
          </cell>
        </row>
        <row r="2195">
          <cell r="A2195" t="str">
            <v>82-1001957</v>
          </cell>
          <cell r="B2195" t="str">
            <v>Genoa 3KG2, DB Faceplate</v>
          </cell>
          <cell r="E2195">
            <v>0</v>
          </cell>
          <cell r="G2195">
            <v>0</v>
          </cell>
        </row>
        <row r="2196">
          <cell r="A2196" t="str">
            <v>82-1200101</v>
          </cell>
          <cell r="B2196" t="str">
            <v>BP STRAP - 8CELL</v>
          </cell>
          <cell r="E2196">
            <v>70.012259999999998</v>
          </cell>
          <cell r="G2196">
            <v>3474</v>
          </cell>
        </row>
        <row r="2197">
          <cell r="A2197" t="str">
            <v>82-1200104</v>
          </cell>
          <cell r="B2197" t="str">
            <v>B48 BASE, WELDED ASSEMBLY</v>
          </cell>
          <cell r="E2197">
            <v>744.25</v>
          </cell>
          <cell r="G2197">
            <v>0</v>
          </cell>
        </row>
        <row r="2198">
          <cell r="A2198" t="str">
            <v>82-1200107</v>
          </cell>
          <cell r="B2198" t="str">
            <v>B24 BASE, COATED ASSEMBLY</v>
          </cell>
          <cell r="E2198">
            <v>379.9742</v>
          </cell>
          <cell r="G2198">
            <v>696</v>
          </cell>
        </row>
        <row r="2199">
          <cell r="A2199" t="str">
            <v>82-1201100</v>
          </cell>
          <cell r="B2199" t="str">
            <v>Mounting Cleat Spacer</v>
          </cell>
          <cell r="E2199">
            <v>11.76694</v>
          </cell>
          <cell r="G2199">
            <v>2777</v>
          </cell>
        </row>
        <row r="2200">
          <cell r="A2200" t="str">
            <v>82-1201102</v>
          </cell>
          <cell r="B2200" t="str">
            <v xml:space="preserve">MOUNTING CLEAT </v>
          </cell>
          <cell r="E2200">
            <v>32.873399999999997</v>
          </cell>
          <cell r="G2200">
            <v>1422</v>
          </cell>
        </row>
        <row r="2201">
          <cell r="A2201" t="str">
            <v>82-1201107</v>
          </cell>
          <cell r="B2201" t="str">
            <v>AKIRA, GLAND PLATE</v>
          </cell>
          <cell r="E2201">
            <v>192.23967999999999</v>
          </cell>
          <cell r="G2201">
            <v>1042</v>
          </cell>
        </row>
        <row r="2202">
          <cell r="A2202" t="str">
            <v>82-1201115</v>
          </cell>
          <cell r="B2202" t="str">
            <v>AKIRA BASE, WELDED ASSEMBLY</v>
          </cell>
          <cell r="E2202">
            <v>1140.7578599999999</v>
          </cell>
          <cell r="G2202">
            <v>245</v>
          </cell>
        </row>
        <row r="2203">
          <cell r="A2203" t="str">
            <v>82-1201117</v>
          </cell>
          <cell r="B2203" t="str">
            <v>FARADAY, DB FACEPLATE</v>
          </cell>
          <cell r="E2203">
            <v>141.51291000000001</v>
          </cell>
          <cell r="G2203">
            <v>502</v>
          </cell>
        </row>
        <row r="2204">
          <cell r="A2204" t="str">
            <v>82-1201118</v>
          </cell>
          <cell r="B2204" t="str">
            <v>FARADAY, DB COVER</v>
          </cell>
          <cell r="E2204">
            <v>75.230220000000003</v>
          </cell>
          <cell r="G2204">
            <v>34</v>
          </cell>
        </row>
        <row r="2205">
          <cell r="A2205" t="str">
            <v>82-1201119</v>
          </cell>
          <cell r="B2205" t="str">
            <v>FARADAY, DB BOX, WELDED ASSEMBLY</v>
          </cell>
          <cell r="E2205">
            <v>501</v>
          </cell>
          <cell r="G2205">
            <v>119</v>
          </cell>
        </row>
        <row r="2206">
          <cell r="A2206" t="str">
            <v>82-1201122</v>
          </cell>
          <cell r="B2206" t="str">
            <v>FARADAY, GLAND PLATE</v>
          </cell>
          <cell r="E2206">
            <v>245.93109999999999</v>
          </cell>
          <cell r="G2206">
            <v>477</v>
          </cell>
        </row>
        <row r="2207">
          <cell r="A2207" t="str">
            <v>82-1201128</v>
          </cell>
          <cell r="B2207" t="str">
            <v>FARADAY, BASE</v>
          </cell>
          <cell r="E2207">
            <v>1991.0945300000001</v>
          </cell>
          <cell r="G2207">
            <v>190</v>
          </cell>
        </row>
        <row r="2208">
          <cell r="A2208" t="str">
            <v>82-1201128-OLD</v>
          </cell>
          <cell r="B2208" t="str">
            <v>FARADAY, BASE (OLD)</v>
          </cell>
          <cell r="E2208">
            <v>2030.87256</v>
          </cell>
          <cell r="G2208">
            <v>0</v>
          </cell>
        </row>
        <row r="2209">
          <cell r="A2209" t="str">
            <v>82-1201130</v>
          </cell>
          <cell r="B2209" t="str">
            <v>FARADAY, COVER</v>
          </cell>
          <cell r="E2209">
            <v>1567.99719</v>
          </cell>
          <cell r="G2209">
            <v>8</v>
          </cell>
        </row>
        <row r="2210">
          <cell r="A2210" t="str">
            <v>82-1201131</v>
          </cell>
          <cell r="B2210" t="str">
            <v>FARADAY, CONTROLLER COVER</v>
          </cell>
          <cell r="E2210">
            <v>93.27</v>
          </cell>
          <cell r="G2210">
            <v>632</v>
          </cell>
        </row>
        <row r="2211">
          <cell r="A2211" t="str">
            <v>82-1201144</v>
          </cell>
          <cell r="B2211" t="str">
            <v>AKIRA, COVER</v>
          </cell>
          <cell r="E2211">
            <v>1554.7088799999999</v>
          </cell>
          <cell r="G2211">
            <v>189</v>
          </cell>
        </row>
        <row r="2212">
          <cell r="A2212" t="str">
            <v>82-1201145</v>
          </cell>
          <cell r="B2212" t="str">
            <v>RESET BUTTON MOUNTING BRACKET - COATED</v>
          </cell>
          <cell r="E2212">
            <v>3.7</v>
          </cell>
          <cell r="G2212">
            <v>0</v>
          </cell>
        </row>
        <row r="2213">
          <cell r="A2213" t="str">
            <v>82-1202101</v>
          </cell>
          <cell r="B2213" t="str">
            <v>VOLTA 2K, COVER - COATED</v>
          </cell>
          <cell r="E2213">
            <v>856.31545000000006</v>
          </cell>
          <cell r="G2213">
            <v>1000</v>
          </cell>
        </row>
        <row r="2214">
          <cell r="A2214" t="str">
            <v>82-1202102</v>
          </cell>
          <cell r="B2214" t="str">
            <v>VOLTA 2K, DB FACEPLATE - COATED</v>
          </cell>
          <cell r="E2214">
            <v>168.00305</v>
          </cell>
          <cell r="G2214">
            <v>1369</v>
          </cell>
        </row>
        <row r="2215">
          <cell r="A2215" t="str">
            <v>82-1202103</v>
          </cell>
          <cell r="B2215" t="str">
            <v>VOLTA 2K, DB COVER - COATED</v>
          </cell>
          <cell r="E2215">
            <v>0</v>
          </cell>
          <cell r="G2215">
            <v>0</v>
          </cell>
        </row>
        <row r="2216">
          <cell r="A2216" t="str">
            <v>82-1202104</v>
          </cell>
          <cell r="B2216" t="str">
            <v>VOLTA 2K, DB BOX, WELDED ASSEMBLY</v>
          </cell>
          <cell r="E2216">
            <v>505.02</v>
          </cell>
          <cell r="G2216">
            <v>539</v>
          </cell>
        </row>
        <row r="2217">
          <cell r="A2217" t="str">
            <v>82-1202107</v>
          </cell>
          <cell r="B2217" t="str">
            <v>VOLTA 2K, GLAND PLATE - COATED</v>
          </cell>
          <cell r="E2217">
            <v>210</v>
          </cell>
          <cell r="G2217">
            <v>1229</v>
          </cell>
        </row>
        <row r="2218">
          <cell r="A2218" t="str">
            <v>82-1202113</v>
          </cell>
          <cell r="B2218" t="str">
            <v>VOLTA 2K, BASE - COATED</v>
          </cell>
          <cell r="E2218">
            <v>1208.77289</v>
          </cell>
          <cell r="G2218">
            <v>1076</v>
          </cell>
        </row>
        <row r="2219">
          <cell r="A2219" t="str">
            <v>82-1202115</v>
          </cell>
          <cell r="B2219" t="str">
            <v>VOLTA 2K, CONTROLLER COVER</v>
          </cell>
          <cell r="E2219">
            <v>51.959989999999998</v>
          </cell>
          <cell r="G2219">
            <v>1621</v>
          </cell>
        </row>
        <row r="2220">
          <cell r="A2220" t="str">
            <v>82-2001277</v>
          </cell>
          <cell r="B2220" t="str">
            <v>Model q system Door with cutoff hole for E7</v>
          </cell>
          <cell r="E2220">
            <v>1440.0938900000001</v>
          </cell>
          <cell r="G2220">
            <v>0</v>
          </cell>
        </row>
        <row r="2221">
          <cell r="A2221" t="str">
            <v>87-1000481</v>
          </cell>
          <cell r="B2221" t="str">
            <v xml:space="preserve">VOLTA 500 SIDE PANEL </v>
          </cell>
          <cell r="E2221">
            <v>30.46613</v>
          </cell>
          <cell r="G2221">
            <v>1304</v>
          </cell>
        </row>
        <row r="2222">
          <cell r="A2222" t="str">
            <v>87-1001196</v>
          </cell>
          <cell r="B2222" t="str">
            <v>Faraday 15K, Cover</v>
          </cell>
          <cell r="E2222">
            <v>40</v>
          </cell>
          <cell r="G2222">
            <v>82</v>
          </cell>
        </row>
        <row r="2223">
          <cell r="A2223" t="str">
            <v>87-1201130</v>
          </cell>
          <cell r="B2223" t="str">
            <v>FARADAY, COVER</v>
          </cell>
          <cell r="E2223">
            <v>78.27149</v>
          </cell>
          <cell r="G2223">
            <v>8</v>
          </cell>
        </row>
        <row r="2224">
          <cell r="A2224" t="str">
            <v>87-1201144</v>
          </cell>
          <cell r="B2224" t="str">
            <v>AKIRA, COVER</v>
          </cell>
          <cell r="E2224">
            <v>40.158299999999997</v>
          </cell>
          <cell r="G2224">
            <v>132</v>
          </cell>
        </row>
        <row r="2225">
          <cell r="A2225" t="str">
            <v>87-1202101</v>
          </cell>
          <cell r="B2225" t="str">
            <v>VOLTA 2K, COVER - PRINTED</v>
          </cell>
          <cell r="E2225">
            <v>39.348559999999999</v>
          </cell>
          <cell r="G2225">
            <v>389</v>
          </cell>
        </row>
        <row r="2226">
          <cell r="A2226" t="str">
            <v>BAT-CELL-100AH-LI</v>
          </cell>
          <cell r="B2226" t="str">
            <v>BATTERY CELL 100AH LI-ION</v>
          </cell>
          <cell r="E2226">
            <v>618.48</v>
          </cell>
          <cell r="G2226">
            <v>0</v>
          </cell>
        </row>
        <row r="2227">
          <cell r="A2227" t="str">
            <v>BMS-16S-48V</v>
          </cell>
          <cell r="B2227" t="str">
            <v>BMS 16S 48V</v>
          </cell>
          <cell r="E2227">
            <v>2848.92</v>
          </cell>
          <cell r="G2227">
            <v>0</v>
          </cell>
        </row>
        <row r="2228">
          <cell r="A2228" t="str">
            <v>BMS-4S-12V-100A-BT</v>
          </cell>
          <cell r="B2228" t="str">
            <v>BMS LFP-4S-12V-100A WITH BLUETOOTH</v>
          </cell>
          <cell r="E2228">
            <v>712.63091999999995</v>
          </cell>
          <cell r="G2228">
            <v>0</v>
          </cell>
        </row>
        <row r="2229">
          <cell r="A2229" t="str">
            <v>BMS-8S-24V</v>
          </cell>
          <cell r="B2229" t="str">
            <v>BMS 8S 24V</v>
          </cell>
          <cell r="E2229">
            <v>2552.511</v>
          </cell>
          <cell r="G2229">
            <v>0</v>
          </cell>
        </row>
        <row r="2230">
          <cell r="A2230" t="str">
            <v>BMS-BT-MOD</v>
          </cell>
          <cell r="B2230" t="str">
            <v>BLUETOOTH MODULE</v>
          </cell>
          <cell r="E2230">
            <v>57.33</v>
          </cell>
          <cell r="G2230">
            <v>0</v>
          </cell>
        </row>
        <row r="2231">
          <cell r="A2231" t="str">
            <v>BUSBAR</v>
          </cell>
          <cell r="B2231" t="str">
            <v>BUSBAR</v>
          </cell>
          <cell r="E2231">
            <v>21.174659999999999</v>
          </cell>
          <cell r="G2231">
            <v>0</v>
          </cell>
        </row>
        <row r="2232">
          <cell r="A2232" t="str">
            <v>BUSBAR-300A-4WAY-BLK</v>
          </cell>
          <cell r="B2232" t="str">
            <v>BUSBAR 300A 4WAY BLACK BUSBAR AOA1103</v>
          </cell>
          <cell r="E2232">
            <v>294.24220000000003</v>
          </cell>
          <cell r="G2232">
            <v>0</v>
          </cell>
        </row>
        <row r="2233">
          <cell r="A2233" t="str">
            <v>BUSBAR-300A-4WAY-RED</v>
          </cell>
          <cell r="B2233" t="str">
            <v>BUSBAR 300A 4WAY RED BUSBAR AOA1103R</v>
          </cell>
          <cell r="E2233">
            <v>294.24239999999998</v>
          </cell>
          <cell r="G2233">
            <v>0</v>
          </cell>
        </row>
        <row r="2234">
          <cell r="A2234" t="str">
            <v>BUS-CELL</v>
          </cell>
          <cell r="B2234" t="str">
            <v>BUSBAR FOR CELL</v>
          </cell>
          <cell r="E2234">
            <v>12.52</v>
          </cell>
          <cell r="G2234">
            <v>0</v>
          </cell>
        </row>
        <row r="2235">
          <cell r="A2235" t="str">
            <v>BUS-MODULE</v>
          </cell>
          <cell r="B2235" t="str">
            <v>BUSBAR FOR MODULE</v>
          </cell>
          <cell r="E2235">
            <v>9.1</v>
          </cell>
          <cell r="G2235">
            <v>0</v>
          </cell>
        </row>
        <row r="2236">
          <cell r="A2236" t="str">
            <v>CAB-HWIRE-1.5MM-RED</v>
          </cell>
          <cell r="B2236" t="str">
            <v>HOUSE WIRE 1.5MM2 RED</v>
          </cell>
          <cell r="E2236">
            <v>3.58</v>
          </cell>
          <cell r="G2236">
            <v>700</v>
          </cell>
        </row>
        <row r="2237">
          <cell r="A2237" t="str">
            <v>CAB-PERMO-16MM2-BLK</v>
          </cell>
          <cell r="B2237" t="str">
            <v>PERMOPOWER 16MM2 BLACK</v>
          </cell>
          <cell r="E2237">
            <v>39</v>
          </cell>
          <cell r="G2237">
            <v>0</v>
          </cell>
        </row>
        <row r="2238">
          <cell r="A2238" t="str">
            <v>CAB-PERMO-16MM2-RED</v>
          </cell>
          <cell r="B2238" t="str">
            <v>PERMOPOWER 16MM2 RED</v>
          </cell>
          <cell r="E2238">
            <v>39</v>
          </cell>
          <cell r="G2238">
            <v>0</v>
          </cell>
        </row>
        <row r="2239">
          <cell r="A2239" t="str">
            <v>CAB-PERMO-35MM2-BLK</v>
          </cell>
          <cell r="B2239" t="str">
            <v>PERMOPOWER 35MM2 BLACK</v>
          </cell>
          <cell r="E2239">
            <v>82</v>
          </cell>
          <cell r="G2239">
            <v>0</v>
          </cell>
        </row>
        <row r="2240">
          <cell r="A2240" t="str">
            <v>CAB-PERMO-35MM2-RED</v>
          </cell>
          <cell r="B2240" t="str">
            <v>PERMOPOWER 35MM2 RED</v>
          </cell>
          <cell r="E2240">
            <v>82</v>
          </cell>
          <cell r="G2240">
            <v>0</v>
          </cell>
        </row>
        <row r="2241">
          <cell r="A2241" t="str">
            <v>CAB-PERMO-50MM2-BLK</v>
          </cell>
          <cell r="B2241" t="str">
            <v>PERMOPOWER 50MM2 BLACK</v>
          </cell>
          <cell r="E2241">
            <v>120</v>
          </cell>
          <cell r="G2241">
            <v>0</v>
          </cell>
        </row>
        <row r="2242">
          <cell r="A2242" t="str">
            <v>CAB-PERMO-50MM2-RED</v>
          </cell>
          <cell r="B2242" t="str">
            <v>PERMOPOWER 50MM2 RED</v>
          </cell>
          <cell r="E2242">
            <v>120</v>
          </cell>
          <cell r="G2242">
            <v>0</v>
          </cell>
        </row>
        <row r="2243">
          <cell r="A2243" t="str">
            <v>CAB-PERMO-70MM2-BLK</v>
          </cell>
          <cell r="B2243" t="str">
            <v>PERMOPOWER 70MM2 BLACK</v>
          </cell>
          <cell r="E2243">
            <v>164</v>
          </cell>
          <cell r="G2243">
            <v>0</v>
          </cell>
        </row>
        <row r="2244">
          <cell r="A2244" t="str">
            <v>CAB-PERMO-70MM2-RED</v>
          </cell>
          <cell r="B2244" t="str">
            <v>PERMOPOWER 70MM2 RED</v>
          </cell>
          <cell r="E2244">
            <v>164</v>
          </cell>
          <cell r="G2244">
            <v>0</v>
          </cell>
        </row>
        <row r="2245">
          <cell r="A2245" t="str">
            <v>CAB-SGL-FLEX-0.75-B</v>
          </cell>
          <cell r="B2245" t="str">
            <v>SINGLE FLEX 0.75MM2 BLACK DRUM</v>
          </cell>
          <cell r="E2245">
            <v>2.1</v>
          </cell>
          <cell r="G2245">
            <v>100</v>
          </cell>
        </row>
        <row r="2246">
          <cell r="A2246" t="str">
            <v>CAB-SGL-FLEX-0.75-R</v>
          </cell>
          <cell r="B2246" t="str">
            <v>SINGLE FLEX 0.75MM2 RED</v>
          </cell>
          <cell r="E2246">
            <v>2.1</v>
          </cell>
          <cell r="G2246">
            <v>280</v>
          </cell>
        </row>
        <row r="2247">
          <cell r="A2247" t="str">
            <v>CAB-UART-4S</v>
          </cell>
          <cell r="B2247" t="str">
            <v>UART CABLE</v>
          </cell>
          <cell r="E2247">
            <v>50.58</v>
          </cell>
          <cell r="G2247">
            <v>0</v>
          </cell>
        </row>
        <row r="2248">
          <cell r="A2248" t="str">
            <v>CAP-CUT-OFF-SAW</v>
          </cell>
          <cell r="B2248" t="str">
            <v>180MM CUTOFF MACHINE WITH BLADE</v>
          </cell>
          <cell r="E2248">
            <v>2517.39</v>
          </cell>
          <cell r="G2248">
            <v>0</v>
          </cell>
        </row>
        <row r="2249">
          <cell r="A2249" t="str">
            <v>CAP-CUTTER-TRAY</v>
          </cell>
          <cell r="B2249" t="str">
            <v>I7100 - CUTTER + TRAY</v>
          </cell>
          <cell r="E2249">
            <v>12291.04</v>
          </cell>
          <cell r="G2249">
            <v>0</v>
          </cell>
        </row>
        <row r="2250">
          <cell r="A2250" t="str">
            <v>CAP-DRILL-18V</v>
          </cell>
          <cell r="B2250" t="str">
            <v>MAKITA A/GRIND LI-ION 115MM 10 000RPM TOO &amp; CASE</v>
          </cell>
          <cell r="E2250">
            <v>2082.61</v>
          </cell>
          <cell r="G2250">
            <v>0</v>
          </cell>
        </row>
        <row r="2251">
          <cell r="A2251" t="str">
            <v>CAP-GRYPHON-GD4590</v>
          </cell>
          <cell r="B2251" t="str">
            <v>GRYPHON GD4590 2 MP 4-14V</v>
          </cell>
          <cell r="E2251">
            <v>1999</v>
          </cell>
          <cell r="G2251">
            <v>0</v>
          </cell>
        </row>
        <row r="2252">
          <cell r="A2252" t="str">
            <v>CAP-GRYPHON-GM4500</v>
          </cell>
          <cell r="B2252" t="str">
            <v>GRYPHON GM4500 433 USB KIT</v>
          </cell>
          <cell r="E2252">
            <v>4231</v>
          </cell>
          <cell r="G2252">
            <v>0</v>
          </cell>
        </row>
        <row r="2253">
          <cell r="A2253" t="str">
            <v>CAP-H/H-SCANNER-PSU</v>
          </cell>
          <cell r="B2253" t="str">
            <v>POWER SUPPLY FOR GRYPHON GM4500 (8-0935) 12V</v>
          </cell>
          <cell r="E2253">
            <v>204</v>
          </cell>
          <cell r="G2253">
            <v>0</v>
          </cell>
        </row>
        <row r="2254">
          <cell r="A2254" t="str">
            <v>CAP-H/H-SCANNER-PWRC</v>
          </cell>
          <cell r="B2254" t="str">
            <v>POWER CORD SHAVED EARTH PLUG 3-PIN</v>
          </cell>
          <cell r="E2254">
            <v>40</v>
          </cell>
          <cell r="G2254">
            <v>0</v>
          </cell>
        </row>
        <row r="2255">
          <cell r="A2255" t="str">
            <v>CAP-HEADSET</v>
          </cell>
          <cell r="B2255" t="str">
            <v>Headset</v>
          </cell>
          <cell r="E2255">
            <v>1080.78333</v>
          </cell>
          <cell r="G2255">
            <v>0</v>
          </cell>
        </row>
        <row r="2256">
          <cell r="A2256" t="str">
            <v>CAP-MEM-16GB</v>
          </cell>
          <cell r="B2256" t="str">
            <v>MEMORY FOR LAPTOP/DESKTOP/SERVER</v>
          </cell>
          <cell r="E2256">
            <v>769</v>
          </cell>
          <cell r="G2256">
            <v>0</v>
          </cell>
        </row>
        <row r="2257">
          <cell r="A2257" t="str">
            <v>CAP-MEM-32GB</v>
          </cell>
          <cell r="B2257" t="str">
            <v>MEMORY FOR LAPTOP/DESKTOP/SERVER</v>
          </cell>
          <cell r="E2257">
            <v>1854</v>
          </cell>
          <cell r="G2257">
            <v>0</v>
          </cell>
        </row>
        <row r="2258">
          <cell r="A2258" t="str">
            <v>CAP-MEM-8GB</v>
          </cell>
          <cell r="B2258" t="str">
            <v>TRANSCEND JET MEMORY 8GB DDR4 2666MHZ SODIMM 1R8X 1GX8 CE19 12V</v>
          </cell>
          <cell r="E2258">
            <v>451.59332999999998</v>
          </cell>
          <cell r="G2258">
            <v>0</v>
          </cell>
        </row>
        <row r="2259">
          <cell r="A2259" t="str">
            <v>CAP-MON-19INCH</v>
          </cell>
          <cell r="B2259" t="str">
            <v>MONITOR 19 INCH</v>
          </cell>
          <cell r="E2259">
            <v>2361.5100000000002</v>
          </cell>
          <cell r="G2259">
            <v>0</v>
          </cell>
        </row>
        <row r="2260">
          <cell r="A2260" t="str">
            <v>CAP-MON-27INCH</v>
          </cell>
          <cell r="B2260" t="str">
            <v>MONITOR 27 INCH</v>
          </cell>
          <cell r="E2260">
            <v>2049</v>
          </cell>
          <cell r="G2260">
            <v>0</v>
          </cell>
        </row>
        <row r="2261">
          <cell r="A2261" t="str">
            <v>CAP-MON-27INCH 2ND</v>
          </cell>
          <cell r="B2261" t="str">
            <v>MONITOR 27 INCH - Returned Staff Asset</v>
          </cell>
          <cell r="E2261">
            <v>0</v>
          </cell>
          <cell r="G2261">
            <v>0</v>
          </cell>
        </row>
        <row r="2262">
          <cell r="A2262" t="str">
            <v>CAP-MOUSE-WIRELESS</v>
          </cell>
          <cell r="B2262" t="str">
            <v>MOUSE WIRELESS</v>
          </cell>
          <cell r="E2262">
            <v>199</v>
          </cell>
          <cell r="G2262">
            <v>0</v>
          </cell>
        </row>
        <row r="2263">
          <cell r="A2263" t="str">
            <v>CAP-NB-ACER-RYZEN7</v>
          </cell>
          <cell r="B2263" t="str">
            <v>ACER RYZEN 7 PRO 4750 SO8GB 512GB 15.6INCH</v>
          </cell>
          <cell r="E2263">
            <v>13198.9</v>
          </cell>
          <cell r="G2263">
            <v>0</v>
          </cell>
        </row>
        <row r="2264">
          <cell r="A2264" t="str">
            <v>CAP-NB-I5</v>
          </cell>
          <cell r="B2264" t="str">
            <v>LAPTOP I5</v>
          </cell>
          <cell r="E2264">
            <v>13376.48</v>
          </cell>
          <cell r="G2264">
            <v>0</v>
          </cell>
        </row>
        <row r="2265">
          <cell r="A2265" t="str">
            <v>CAP-NB-I5 (16GB)</v>
          </cell>
          <cell r="B2265" t="str">
            <v>LAPTOP I5 (16GB)</v>
          </cell>
          <cell r="E2265">
            <v>18244</v>
          </cell>
          <cell r="G2265">
            <v>0</v>
          </cell>
        </row>
        <row r="2266">
          <cell r="A2266" t="str">
            <v>CAP-NB-I5 (16GB) 2ND</v>
          </cell>
          <cell r="B2266" t="str">
            <v>LAPTOP I5 (16GB) - Returned Staff Asset</v>
          </cell>
          <cell r="E2266">
            <v>0</v>
          </cell>
          <cell r="G2266">
            <v>0</v>
          </cell>
        </row>
        <row r="2267">
          <cell r="A2267" t="str">
            <v>CAP-NB-I5 (32GB)</v>
          </cell>
          <cell r="B2267" t="str">
            <v>LAPTOP I5 (32GB)</v>
          </cell>
          <cell r="E2267">
            <v>20139</v>
          </cell>
          <cell r="G2267">
            <v>0</v>
          </cell>
        </row>
        <row r="2268">
          <cell r="A2268" t="str">
            <v>CAP-NB-I5 (32GB) 2ND</v>
          </cell>
          <cell r="B2268" t="str">
            <v>LAPTOP I5 (32GB) - Returned Staff Asset</v>
          </cell>
          <cell r="E2268">
            <v>0</v>
          </cell>
          <cell r="G2268">
            <v>0</v>
          </cell>
        </row>
        <row r="2269">
          <cell r="A2269" t="str">
            <v>CAP-NB-I7</v>
          </cell>
          <cell r="B2269" t="str">
            <v>LAPTOP I7</v>
          </cell>
          <cell r="E2269">
            <v>21699</v>
          </cell>
          <cell r="G2269">
            <v>0</v>
          </cell>
        </row>
        <row r="2270">
          <cell r="A2270" t="str">
            <v>CAP-NB-I7 (16GB)</v>
          </cell>
          <cell r="B2270" t="str">
            <v>LAPTOP I7 (16GB)</v>
          </cell>
          <cell r="E2270">
            <v>21094</v>
          </cell>
          <cell r="G2270">
            <v>0</v>
          </cell>
        </row>
        <row r="2271">
          <cell r="A2271" t="str">
            <v>CAP-NB-I7 (16GB) 2ND</v>
          </cell>
          <cell r="B2271" t="str">
            <v>LAPTOP I7 (16GB) - Returned Staff Asset</v>
          </cell>
          <cell r="E2271">
            <v>0</v>
          </cell>
          <cell r="G2271">
            <v>0</v>
          </cell>
        </row>
        <row r="2272">
          <cell r="A2272" t="str">
            <v>CAP-NB-I7 (32GB)</v>
          </cell>
          <cell r="B2272" t="str">
            <v>LAPTOP I7 (32GB)</v>
          </cell>
          <cell r="E2272">
            <v>0</v>
          </cell>
          <cell r="G2272">
            <v>0</v>
          </cell>
        </row>
        <row r="2273">
          <cell r="A2273" t="str">
            <v>CAP-NB-I7 (32GB) 2ND</v>
          </cell>
          <cell r="B2273" t="str">
            <v>LAPTOP I7 (32GB) - Returned Staff Asset</v>
          </cell>
          <cell r="E2273">
            <v>0</v>
          </cell>
          <cell r="G2273">
            <v>0</v>
          </cell>
        </row>
        <row r="2274">
          <cell r="A2274" t="str">
            <v>CAP-NB-I7 (R&amp;D)</v>
          </cell>
          <cell r="B2274" t="str">
            <v>LAPTOP I7 (R&amp;D)</v>
          </cell>
          <cell r="E2274">
            <v>30599</v>
          </cell>
          <cell r="G2274">
            <v>0</v>
          </cell>
        </row>
        <row r="2275">
          <cell r="A2275" t="str">
            <v>CAP-NB-I7 (R&amp;D) 2ND</v>
          </cell>
          <cell r="B2275" t="str">
            <v>LAPTOP I7 (R&amp;D) - Returned Staff Asset</v>
          </cell>
          <cell r="E2275">
            <v>0</v>
          </cell>
          <cell r="G2275">
            <v>0</v>
          </cell>
        </row>
        <row r="2276">
          <cell r="A2276" t="str">
            <v>CAP-NB-I7 (SPC) 2ND</v>
          </cell>
          <cell r="B2276" t="str">
            <v>LAPTOP I7 (SPECIAL) - Returned Staff Asset</v>
          </cell>
          <cell r="E2276">
            <v>0</v>
          </cell>
          <cell r="G2276">
            <v>0</v>
          </cell>
        </row>
        <row r="2277">
          <cell r="A2277" t="str">
            <v>CAP-NB-I7 (SPECIAL)</v>
          </cell>
          <cell r="B2277" t="str">
            <v>LAPTOP I7 (SPECIAL)</v>
          </cell>
          <cell r="E2277">
            <v>38199</v>
          </cell>
          <cell r="G2277">
            <v>0</v>
          </cell>
        </row>
        <row r="2278">
          <cell r="A2278" t="str">
            <v>CAP-NB-LAPTOP-BAG</v>
          </cell>
          <cell r="B2278" t="str">
            <v>LAPTOP BAG</v>
          </cell>
          <cell r="E2278">
            <v>279</v>
          </cell>
          <cell r="G2278">
            <v>0</v>
          </cell>
        </row>
        <row r="2279">
          <cell r="A2279" t="str">
            <v>CAP-NB-LAPTOP-BCKPCK</v>
          </cell>
          <cell r="B2279" t="str">
            <v>LAPTOP BACKPACK</v>
          </cell>
          <cell r="E2279">
            <v>216.52</v>
          </cell>
          <cell r="G2279">
            <v>0</v>
          </cell>
        </row>
        <row r="2280">
          <cell r="A2280" t="str">
            <v>CAP-PEDESTAL-DRILL</v>
          </cell>
          <cell r="B2280" t="str">
            <v>PEDESTAL DRILL (25MM) 12 SPEED 1125W 220V</v>
          </cell>
          <cell r="E2280">
            <v>8217.39</v>
          </cell>
          <cell r="G2280">
            <v>0</v>
          </cell>
        </row>
        <row r="2281">
          <cell r="A2281" t="str">
            <v>CAP-PRS-120MM</v>
          </cell>
          <cell r="B2281" t="str">
            <v>I7100 - PRS-120MM</v>
          </cell>
          <cell r="E2281">
            <v>1017.08</v>
          </cell>
          <cell r="G2281">
            <v>0</v>
          </cell>
        </row>
        <row r="2282">
          <cell r="A2282" t="str">
            <v>CAP-UB-UAP-AC-LR</v>
          </cell>
          <cell r="B2282" t="str">
            <v>UBIQUITI UNIFI 802.11AC LONG RANGE AP</v>
          </cell>
          <cell r="E2282">
            <v>0</v>
          </cell>
          <cell r="G2282">
            <v>0</v>
          </cell>
        </row>
        <row r="2283">
          <cell r="A2283" t="str">
            <v>CAP-WIRED-DESKTOP</v>
          </cell>
          <cell r="B2283" t="str">
            <v>WIRED DESKTOP COMBO</v>
          </cell>
          <cell r="E2283">
            <v>180.45</v>
          </cell>
          <cell r="G2283">
            <v>0</v>
          </cell>
        </row>
        <row r="2284">
          <cell r="A2284" t="str">
            <v>CAP-WIRELESS-DESKTOP</v>
          </cell>
          <cell r="B2284" t="str">
            <v>WIRELESS KEYBOARD AND MOUSE</v>
          </cell>
          <cell r="E2284">
            <v>66.543610000000001</v>
          </cell>
          <cell r="G2284">
            <v>0</v>
          </cell>
        </row>
        <row r="2285">
          <cell r="A2285" t="str">
            <v>CAP-WIRELESS-KEYBOAR</v>
          </cell>
          <cell r="B2285" t="str">
            <v>WIRELESS KEYBOARD</v>
          </cell>
          <cell r="E2285">
            <v>198</v>
          </cell>
          <cell r="G2285">
            <v>0</v>
          </cell>
        </row>
        <row r="2286">
          <cell r="A2286" t="str">
            <v>CE-JKP001-01</v>
          </cell>
          <cell r="B2286" t="str">
            <v>HQ-C100/p, L=453mm Material:S450GD, thickness:3mm</v>
          </cell>
          <cell r="E2286">
            <v>35.844999999999999</v>
          </cell>
          <cell r="G2286">
            <v>0</v>
          </cell>
        </row>
        <row r="2287">
          <cell r="A2287" t="str">
            <v>CE-JKP001-02</v>
          </cell>
          <cell r="B2287" t="str">
            <v>HQ-C100/p, L=1582mm Material:S450GD, thickness:3mm</v>
          </cell>
          <cell r="E2287">
            <v>124.61499999999999</v>
          </cell>
          <cell r="G2287">
            <v>0</v>
          </cell>
        </row>
        <row r="2288">
          <cell r="A2288" t="str">
            <v>CE-JKP001-03</v>
          </cell>
          <cell r="B2288" t="str">
            <v>HQ-C80/B, L=3900mm, S350GD, thickness:2mm</v>
          </cell>
          <cell r="E2288">
            <v>155.33500000000001</v>
          </cell>
          <cell r="G2288">
            <v>0</v>
          </cell>
        </row>
        <row r="2289">
          <cell r="A2289" t="str">
            <v>CE-JKP001-04</v>
          </cell>
          <cell r="B2289" t="str">
            <v>HQ-C80/R, L=5000mm, S350GD, thickness:2mm</v>
          </cell>
          <cell r="E2289">
            <v>199.035</v>
          </cell>
          <cell r="G2289">
            <v>0</v>
          </cell>
        </row>
        <row r="2290">
          <cell r="A2290" t="str">
            <v>CE-JKP001-05</v>
          </cell>
          <cell r="B2290" t="str">
            <v>HQ-C60/SB, C60 side beam, L=1777mm, S350GD</v>
          </cell>
          <cell r="E2290">
            <v>61.965000000000003</v>
          </cell>
          <cell r="G2290">
            <v>0</v>
          </cell>
        </row>
        <row r="2291">
          <cell r="A2291" t="str">
            <v>CE-JKP001-06</v>
          </cell>
          <cell r="B2291" t="str">
            <v>HQ-RC-C02, Rail clamp L=50mm, AL6005-T5</v>
          </cell>
          <cell r="E2291">
            <v>19.46</v>
          </cell>
          <cell r="G2291">
            <v>0</v>
          </cell>
        </row>
        <row r="2292">
          <cell r="A2292" t="str">
            <v>CE-JKP001-07</v>
          </cell>
          <cell r="B2292" t="str">
            <v>HQ-EC01-30, L=50mm AL6005-T5</v>
          </cell>
          <cell r="E2292">
            <v>9.9012499999999992</v>
          </cell>
          <cell r="G2292">
            <v>0</v>
          </cell>
        </row>
        <row r="2293">
          <cell r="A2293" t="str">
            <v>CE-JKP001-08</v>
          </cell>
          <cell r="B2293" t="str">
            <v>HQ-IC01-30, L=50mm AL6005-T5</v>
          </cell>
          <cell r="E2293">
            <v>9.9</v>
          </cell>
          <cell r="G2293">
            <v>0</v>
          </cell>
        </row>
        <row r="2294">
          <cell r="A2294" t="str">
            <v>CE-JKP001-09</v>
          </cell>
          <cell r="B2294" t="str">
            <v>HQ-U21, U Steel 41*21, L=2979mm, S350GD</v>
          </cell>
          <cell r="E2294">
            <v>90.13</v>
          </cell>
          <cell r="G2294">
            <v>0</v>
          </cell>
        </row>
        <row r="2295">
          <cell r="A2295" t="str">
            <v>CE-JKP001-10</v>
          </cell>
          <cell r="B2295" t="str">
            <v>HQ-HB-M10*30, 8.8Grade</v>
          </cell>
          <cell r="E2295">
            <v>2.2200000000000002</v>
          </cell>
          <cell r="G2295">
            <v>4</v>
          </cell>
        </row>
        <row r="2296">
          <cell r="A2296" t="str">
            <v>CE-JKP001-11</v>
          </cell>
          <cell r="B2296" t="str">
            <v>HQ-HBM12*40, 8.8Grade</v>
          </cell>
          <cell r="E2296">
            <v>3.4139300000000001</v>
          </cell>
          <cell r="G2296">
            <v>0</v>
          </cell>
        </row>
        <row r="2297">
          <cell r="A2297" t="str">
            <v>CE-JKP001-12</v>
          </cell>
          <cell r="B2297" t="str">
            <v>HQ-GS, 76*1600mm, Q235B</v>
          </cell>
          <cell r="E2297">
            <v>252.63499999999999</v>
          </cell>
          <cell r="G2297">
            <v>4</v>
          </cell>
        </row>
        <row r="2298">
          <cell r="A2298" t="str">
            <v>CE-JKP001-13</v>
          </cell>
          <cell r="B2298" t="str">
            <v>HQ-CC01, SS304 cable clip</v>
          </cell>
          <cell r="E2298">
            <v>3.1781000000000001</v>
          </cell>
          <cell r="G2298">
            <v>0</v>
          </cell>
        </row>
        <row r="2299">
          <cell r="A2299" t="str">
            <v>CE-JKP001-14</v>
          </cell>
          <cell r="B2299" t="str">
            <v>HQ-PB-230, L=230mm, S350GD</v>
          </cell>
          <cell r="E2299">
            <v>44.552500000000002</v>
          </cell>
          <cell r="G2299">
            <v>0</v>
          </cell>
        </row>
        <row r="2300">
          <cell r="A2300" t="str">
            <v>CE-JKP001-15</v>
          </cell>
          <cell r="B2300" t="str">
            <v>HQ-CP-S, L=6200MM AL6005-T5</v>
          </cell>
          <cell r="E2300">
            <v>5472.1549999999997</v>
          </cell>
          <cell r="G2300">
            <v>2</v>
          </cell>
        </row>
        <row r="2301">
          <cell r="A2301" t="str">
            <v>CE-JKP001-16</v>
          </cell>
          <cell r="B2301" t="str">
            <v>HQ-II50R, AL6005-T5, L=4200mm</v>
          </cell>
          <cell r="E2301">
            <v>2222.6</v>
          </cell>
          <cell r="G2301">
            <v>6</v>
          </cell>
        </row>
        <row r="2302">
          <cell r="A2302" t="str">
            <v>CE-JKP001-17</v>
          </cell>
          <cell r="B2302" t="str">
            <v>HQ-SP-I150, AL6005-T5, L=500mm</v>
          </cell>
          <cell r="E2302">
            <v>346.91</v>
          </cell>
          <cell r="G2302">
            <v>6</v>
          </cell>
        </row>
        <row r="2303">
          <cell r="A2303" t="str">
            <v>CE-JKP001-18</v>
          </cell>
          <cell r="B2303" t="str">
            <v>HQ-RC01-40, AL6005-T5</v>
          </cell>
          <cell r="E2303">
            <v>12.707000000000001</v>
          </cell>
          <cell r="G2303">
            <v>40</v>
          </cell>
        </row>
        <row r="2304">
          <cell r="A2304" t="str">
            <v>CE-JKP001-19</v>
          </cell>
          <cell r="B2304" t="str">
            <v>HQ-EC02-30, AL6005-T5</v>
          </cell>
          <cell r="E2304">
            <v>24.913329999999998</v>
          </cell>
          <cell r="G2304">
            <v>8</v>
          </cell>
        </row>
        <row r="2305">
          <cell r="A2305" t="str">
            <v>CE-JKP001-20</v>
          </cell>
          <cell r="B2305" t="str">
            <v>HQ-IC02-30, AL6005-T5</v>
          </cell>
          <cell r="E2305">
            <v>24.42972</v>
          </cell>
          <cell r="G2305">
            <v>8</v>
          </cell>
        </row>
        <row r="2306">
          <cell r="A2306" t="str">
            <v>CE-JKP001-21</v>
          </cell>
          <cell r="B2306" t="str">
            <v>HQ-RAB-M20*500, M20*500*1 Q235B</v>
          </cell>
          <cell r="E2306">
            <v>130.45249999999999</v>
          </cell>
          <cell r="G2306">
            <v>8</v>
          </cell>
        </row>
        <row r="2307">
          <cell r="A2307" t="str">
            <v>CE-JKP001-22</v>
          </cell>
          <cell r="B2307" t="str">
            <v>HQ-U100/S-450</v>
          </cell>
          <cell r="E2307">
            <v>1127.675</v>
          </cell>
          <cell r="G2307">
            <v>4</v>
          </cell>
        </row>
        <row r="2308">
          <cell r="A2308" t="str">
            <v>CE-JKP001-23</v>
          </cell>
          <cell r="B2308" t="str">
            <v>HQ-100/ST-mm, L=2318mm, AL6005-T5</v>
          </cell>
          <cell r="E2308">
            <v>1765.74</v>
          </cell>
          <cell r="G2308">
            <v>2</v>
          </cell>
        </row>
        <row r="2309">
          <cell r="A2309" t="str">
            <v>CE-JKP001-24</v>
          </cell>
          <cell r="B2309" t="str">
            <v>HQ-100/ST-mm, L=2615mm, AL6005-T5</v>
          </cell>
          <cell r="E2309">
            <v>1992.01</v>
          </cell>
          <cell r="G2309">
            <v>2</v>
          </cell>
        </row>
        <row r="2310">
          <cell r="A2310" t="str">
            <v>CE-JKP001-25</v>
          </cell>
          <cell r="B2310" t="str">
            <v>HQ-100/ST-mm, L=2864mm, AL6005-T5</v>
          </cell>
          <cell r="E2310">
            <v>2181.395</v>
          </cell>
          <cell r="G2310">
            <v>2</v>
          </cell>
        </row>
        <row r="2311">
          <cell r="A2311" t="str">
            <v>CE-JKP001-26</v>
          </cell>
          <cell r="B2311" t="str">
            <v>HQ-100/ST-mm, L=3239mm, AL6005-T5</v>
          </cell>
          <cell r="E2311">
            <v>2467.5</v>
          </cell>
          <cell r="G2311">
            <v>2</v>
          </cell>
        </row>
        <row r="2312">
          <cell r="A2312" t="str">
            <v>CE-JKP002-01</v>
          </cell>
          <cell r="B2312" t="str">
            <v>33-2000155_SCB8-63 AC Circuit Breaker, 230Vac, 20A,2P,6ka,type C</v>
          </cell>
          <cell r="E2312">
            <v>67.363330000000005</v>
          </cell>
          <cell r="G2312">
            <v>0</v>
          </cell>
        </row>
        <row r="2313">
          <cell r="A2313" t="str">
            <v>CE-JKP002-02</v>
          </cell>
          <cell r="B2313" t="str">
            <v>33-2000156_SCB8-63 AC Circuit Breaker, 230Vac, 32A,2P,6ka,type C</v>
          </cell>
          <cell r="E2313">
            <v>67.363330000000005</v>
          </cell>
          <cell r="G2313">
            <v>0</v>
          </cell>
        </row>
        <row r="2314">
          <cell r="A2314" t="str">
            <v>CE-JKP002-03</v>
          </cell>
          <cell r="B2314" t="str">
            <v>33-2000157_SCB8-63 AC Circuit Breaker, 230Vac, 63A,2P,6ka,type C</v>
          </cell>
          <cell r="E2314">
            <v>67.36</v>
          </cell>
          <cell r="G2314">
            <v>0</v>
          </cell>
        </row>
        <row r="2315">
          <cell r="A2315" t="str">
            <v>CE-JKP002-04</v>
          </cell>
          <cell r="B2315" t="str">
            <v>33-2000154_SCB8-63 AC Circuit Breaker, 230Vac, 16A,1P,6ka,type C</v>
          </cell>
          <cell r="E2315">
            <v>33.68</v>
          </cell>
          <cell r="G2315">
            <v>0</v>
          </cell>
        </row>
        <row r="2316">
          <cell r="A2316" t="str">
            <v>CE-JKP002-05</v>
          </cell>
          <cell r="B2316" t="str">
            <v>SL7N-125D DC Circuit Breaker, 800Vdc, 63A,2P</v>
          </cell>
          <cell r="E2316">
            <v>480.91</v>
          </cell>
          <cell r="G2316">
            <v>0</v>
          </cell>
        </row>
        <row r="2317">
          <cell r="A2317" t="str">
            <v>CE-JKP002-06</v>
          </cell>
          <cell r="B2317" t="str">
            <v>33-2000854_SCB8-63 AC Circuit Breaker, 230Vac, 40A,2P,6ka,type C</v>
          </cell>
          <cell r="E2317">
            <v>67.363330000000005</v>
          </cell>
          <cell r="G2317">
            <v>0</v>
          </cell>
        </row>
        <row r="2318">
          <cell r="A2318" t="str">
            <v>CE-JKP002-07</v>
          </cell>
          <cell r="B2318" t="str">
            <v>33-2000891_SCB8-63 AC Circuit Breaker, 230Vac, 10A,1P,6ka,type C</v>
          </cell>
          <cell r="E2318">
            <v>33.683329999999998</v>
          </cell>
          <cell r="G2318">
            <v>0</v>
          </cell>
        </row>
        <row r="2319">
          <cell r="A2319" t="str">
            <v>CE-JKP002-08</v>
          </cell>
          <cell r="B2319" t="str">
            <v>33-2000892_SCB8-63 AC Circuit Breaker, 230Vac, 20A,1P,6ka,type C</v>
          </cell>
          <cell r="E2319">
            <v>33.68</v>
          </cell>
          <cell r="G2319">
            <v>0</v>
          </cell>
        </row>
        <row r="2320">
          <cell r="A2320" t="str">
            <v>CE-JKP002-09</v>
          </cell>
          <cell r="B2320" t="str">
            <v>33-2001168_SCB8-125 AC Circuit Breaker, 230Vac, 80A,2P,6ka,type C</v>
          </cell>
          <cell r="E2320">
            <v>164.61</v>
          </cell>
          <cell r="G2320">
            <v>0</v>
          </cell>
        </row>
        <row r="2321">
          <cell r="A2321" t="str">
            <v>CE-JKP002-10</v>
          </cell>
          <cell r="B2321" t="str">
            <v>33-2001173_SCB8-63 AC Circuit Breaker, 400Vac, 63A,4P,6ka,type C</v>
          </cell>
          <cell r="E2321">
            <v>134.67667</v>
          </cell>
          <cell r="G2321">
            <v>0</v>
          </cell>
        </row>
        <row r="2322">
          <cell r="A2322" t="str">
            <v>CE-JKP002-11</v>
          </cell>
          <cell r="B2322" t="str">
            <v>SM8E-100, PUC100A, TMD63-100, populated</v>
          </cell>
          <cell r="E2322">
            <v>0</v>
          </cell>
          <cell r="G2322">
            <v>0</v>
          </cell>
        </row>
        <row r="2323">
          <cell r="A2323" t="str">
            <v>CE-JKP002-12</v>
          </cell>
          <cell r="B2323" t="str">
            <v>SL7N-125D DC Circuit Breaker, 1500Vdc, 63A,4P</v>
          </cell>
          <cell r="E2323">
            <v>792.86</v>
          </cell>
          <cell r="G2323">
            <v>0</v>
          </cell>
        </row>
        <row r="2324">
          <cell r="A2324" t="str">
            <v>CE-JKP002-13</v>
          </cell>
          <cell r="B2324" t="str">
            <v>SM8E-125, PUC125A, TMD80-125, populated</v>
          </cell>
          <cell r="E2324">
            <v>4115.3249999999998</v>
          </cell>
          <cell r="G2324">
            <v>0</v>
          </cell>
        </row>
        <row r="2325">
          <cell r="A2325" t="str">
            <v>CE-JKP002-14</v>
          </cell>
          <cell r="B2325" t="str">
            <v>SM8E-250, PUC250A, TMD160-250, populated</v>
          </cell>
          <cell r="E2325">
            <v>5990.61</v>
          </cell>
          <cell r="G2325">
            <v>0</v>
          </cell>
        </row>
        <row r="2326">
          <cell r="A2326" t="str">
            <v>CE-JKP002-15</v>
          </cell>
          <cell r="B2326" t="str">
            <v>SM8E-400, PUC400A, TMD257-400, populated</v>
          </cell>
          <cell r="E2326">
            <v>6488.19</v>
          </cell>
          <cell r="G2326">
            <v>0</v>
          </cell>
        </row>
        <row r="2327">
          <cell r="A2327" t="str">
            <v>CE-JKP002-16</v>
          </cell>
          <cell r="B2327" t="str">
            <v>SM8E-630, PUC630A, TMD400-630, populated</v>
          </cell>
          <cell r="E2327">
            <v>8295.2099999999991</v>
          </cell>
          <cell r="G2327">
            <v>0</v>
          </cell>
        </row>
        <row r="2328">
          <cell r="A2328" t="str">
            <v>CE-JKP002-17</v>
          </cell>
          <cell r="B2328" t="str">
            <v>SM8E-1000, PUC1000A, TMD630-1000, populated</v>
          </cell>
          <cell r="E2328">
            <v>17615.560000000001</v>
          </cell>
          <cell r="G2328">
            <v>0</v>
          </cell>
        </row>
        <row r="2329">
          <cell r="A2329" t="str">
            <v>CE-JKP002-18</v>
          </cell>
          <cell r="B2329" t="str">
            <v>33-2000575_SM8E-125, MCCB125A, TMD80-125</v>
          </cell>
          <cell r="E2329">
            <v>1986.98</v>
          </cell>
          <cell r="G2329">
            <v>0</v>
          </cell>
        </row>
        <row r="2330">
          <cell r="A2330" t="str">
            <v>CE-JKP002-19</v>
          </cell>
          <cell r="B2330" t="str">
            <v>33-2001778_SM8E-160, MCCB160A, TMD100-160</v>
          </cell>
          <cell r="E2330">
            <v>2431.54</v>
          </cell>
          <cell r="G2330">
            <v>0</v>
          </cell>
        </row>
        <row r="2331">
          <cell r="A2331" t="str">
            <v>CE-JKP002-20</v>
          </cell>
          <cell r="B2331" t="str">
            <v>33-2001779_SM8E-250, MCCB250A, TMD160-250</v>
          </cell>
          <cell r="E2331">
            <v>4306.42</v>
          </cell>
          <cell r="G2331">
            <v>0</v>
          </cell>
        </row>
        <row r="2332">
          <cell r="A2332" t="str">
            <v>CE-JKP002-21</v>
          </cell>
          <cell r="B2332" t="str">
            <v>33-2001780_SM8E-400, MCCB400A, TMD257-400</v>
          </cell>
          <cell r="E2332">
            <v>4306.42</v>
          </cell>
          <cell r="G2332">
            <v>0</v>
          </cell>
        </row>
        <row r="2333">
          <cell r="A2333" t="str">
            <v>CE-JKP002-22</v>
          </cell>
          <cell r="B2333" t="str">
            <v>33-2001781_SM8E-630, MCCB630A, TMD400-630</v>
          </cell>
          <cell r="E2333">
            <v>5623.1</v>
          </cell>
          <cell r="G2333">
            <v>0</v>
          </cell>
        </row>
        <row r="2334">
          <cell r="A2334" t="str">
            <v>CE-JKP002-23</v>
          </cell>
          <cell r="B2334" t="str">
            <v>33-2001782_SM8E-1000, MCCB1000A, TMD630-1000</v>
          </cell>
          <cell r="E2334">
            <v>14763.65</v>
          </cell>
          <cell r="G2334">
            <v>0</v>
          </cell>
        </row>
        <row r="2335">
          <cell r="A2335" t="str">
            <v>CE-JKP002-24</v>
          </cell>
          <cell r="B2335" t="str">
            <v>62-1001304_SHLX-AC 3/1 three phase combiner box</v>
          </cell>
          <cell r="E2335">
            <v>7168.39</v>
          </cell>
          <cell r="G2335">
            <v>0</v>
          </cell>
        </row>
        <row r="2336">
          <cell r="A2336" t="str">
            <v>CE-JKP002-25</v>
          </cell>
          <cell r="B2336" t="str">
            <v>62-1001332_SHLX-AC 6/1 three phase combiner box</v>
          </cell>
          <cell r="E2336">
            <v>12182.33</v>
          </cell>
          <cell r="G2336">
            <v>0</v>
          </cell>
        </row>
        <row r="2337">
          <cell r="A2337" t="str">
            <v>CE-JKP002-26</v>
          </cell>
          <cell r="B2337" t="str">
            <v>62-1001340_SHLX-AC 10/1 three phase combiner box</v>
          </cell>
          <cell r="E2337">
            <v>24072.03</v>
          </cell>
          <cell r="G2337">
            <v>0</v>
          </cell>
        </row>
        <row r="2338">
          <cell r="A2338" t="str">
            <v>CE-JKP002-27</v>
          </cell>
          <cell r="B2338" t="str">
            <v>UKP IP65 AC Rotary Isolator switch Lockable, 440Vac, 80A,2P</v>
          </cell>
          <cell r="E2338">
            <v>706.46</v>
          </cell>
          <cell r="G2338">
            <v>0</v>
          </cell>
        </row>
        <row r="2339">
          <cell r="A2339" t="str">
            <v>CE-JKP002-28</v>
          </cell>
          <cell r="B2339" t="str">
            <v>39-2001878_UKP IP65 AC Rotary Isolator switch Lockable, 440Vac,63A,4P</v>
          </cell>
          <cell r="E2339">
            <v>340.62</v>
          </cell>
          <cell r="G2339">
            <v>0</v>
          </cell>
        </row>
        <row r="2340">
          <cell r="A2340" t="str">
            <v>CE-JKP002-29</v>
          </cell>
          <cell r="B2340" t="str">
            <v>39-2001879_UKP IP65 AC Rotary Isolator switch Lockable, 440Vac,63A,2P</v>
          </cell>
          <cell r="E2340">
            <v>282.33999999999997</v>
          </cell>
          <cell r="G2340">
            <v>0</v>
          </cell>
        </row>
        <row r="2341">
          <cell r="A2341" t="str">
            <v>CE-JKP002-30</v>
          </cell>
          <cell r="B2341" t="str">
            <v>33-2000158_Pilot Light, AC, 1P, Green, 230Vac</v>
          </cell>
          <cell r="E2341">
            <v>14.82</v>
          </cell>
          <cell r="G2341">
            <v>0</v>
          </cell>
        </row>
        <row r="2342">
          <cell r="A2342" t="str">
            <v>CE-JKP002-31</v>
          </cell>
          <cell r="B2342" t="str">
            <v>33-2000159_Pilot Light, AC, 1P, Red, 230Vac</v>
          </cell>
          <cell r="E2342">
            <v>14.82</v>
          </cell>
          <cell r="G2342">
            <v>0</v>
          </cell>
        </row>
        <row r="2343">
          <cell r="A2343" t="str">
            <v>CE-JKP002-32</v>
          </cell>
          <cell r="B2343" t="str">
            <v>1x18 way surface mount DB, Single-phase, 80A, 2P,Populated</v>
          </cell>
          <cell r="E2343">
            <v>1882.73</v>
          </cell>
          <cell r="G2343">
            <v>0</v>
          </cell>
        </row>
        <row r="2344">
          <cell r="A2344" t="str">
            <v>CE-JKP002-33</v>
          </cell>
          <cell r="B2344" t="str">
            <v>1x18 way surface mount DB, Single-phase, 63A, 2P,Populated</v>
          </cell>
          <cell r="E2344">
            <v>1747.67</v>
          </cell>
          <cell r="G2344">
            <v>0</v>
          </cell>
        </row>
        <row r="2345">
          <cell r="A2345" t="str">
            <v>CE-JKP002-34</v>
          </cell>
          <cell r="B2345" t="str">
            <v>1x18 way surface mount DB, Three-phase, 4P, 63A,Populated</v>
          </cell>
          <cell r="E2345">
            <v>2471.25</v>
          </cell>
          <cell r="G2345">
            <v>0</v>
          </cell>
        </row>
        <row r="2346">
          <cell r="A2346" t="str">
            <v>CE-JKP002-35</v>
          </cell>
          <cell r="B2346" t="str">
            <v>2x18 way surface mount DB, Three-phase, 4P, 63A,Populated</v>
          </cell>
          <cell r="E2346">
            <v>2882.8</v>
          </cell>
          <cell r="G2346">
            <v>0</v>
          </cell>
        </row>
        <row r="2347">
          <cell r="A2347" t="str">
            <v>CE-JKP002-36</v>
          </cell>
          <cell r="B2347" t="str">
            <v>1x12 way surface mount DB, Single-phase, 63A, 2P,Populated</v>
          </cell>
          <cell r="E2347">
            <v>0</v>
          </cell>
          <cell r="G2347">
            <v>0</v>
          </cell>
        </row>
        <row r="2348">
          <cell r="A2348" t="str">
            <v>CE-JKP002-37</v>
          </cell>
          <cell r="B2348" t="str">
            <v>SHLX-PV 4/4 1000Vdc combiner box</v>
          </cell>
          <cell r="E2348">
            <v>8619.7233300000007</v>
          </cell>
          <cell r="G2348">
            <v>1</v>
          </cell>
        </row>
        <row r="2349">
          <cell r="A2349" t="str">
            <v>CE-JKP002-38</v>
          </cell>
          <cell r="B2349" t="str">
            <v>SHLX-PV 4/2 1000Vdc combiner box</v>
          </cell>
          <cell r="E2349">
            <v>4365.9533300000003</v>
          </cell>
          <cell r="G2349">
            <v>0</v>
          </cell>
        </row>
        <row r="2350">
          <cell r="A2350" t="str">
            <v>CE-JKP002-39</v>
          </cell>
          <cell r="B2350" t="str">
            <v>SHLX-PV 2/1 1000Vdc combiner box</v>
          </cell>
          <cell r="E2350">
            <v>2243.03667</v>
          </cell>
          <cell r="G2350">
            <v>0</v>
          </cell>
        </row>
        <row r="2351">
          <cell r="A2351" t="str">
            <v>CE-JKP002-40</v>
          </cell>
          <cell r="B2351" t="str">
            <v>SL7N-125D DC Circuit Breaker</v>
          </cell>
          <cell r="E2351">
            <v>480.91332999999997</v>
          </cell>
          <cell r="G2351">
            <v>0</v>
          </cell>
        </row>
        <row r="2352">
          <cell r="A2352" t="str">
            <v>CON-10MM-FERRULE-L25</v>
          </cell>
          <cell r="B2352" t="str">
            <v>10MM2 L-25 CRIMP FERRULE</v>
          </cell>
          <cell r="E2352">
            <v>4.4275200000000003</v>
          </cell>
          <cell r="G2352">
            <v>306</v>
          </cell>
        </row>
        <row r="2353">
          <cell r="A2353" t="str">
            <v>CON-10X200-HNGR-ALUM</v>
          </cell>
          <cell r="B2353" t="str">
            <v>M10X200 HANGER BOLT W NUTS METAL BEAM</v>
          </cell>
          <cell r="E2353">
            <v>17.91</v>
          </cell>
          <cell r="G2353">
            <v>2990</v>
          </cell>
        </row>
        <row r="2354">
          <cell r="A2354" t="str">
            <v>CON-10X200-HNGR-WOOD</v>
          </cell>
          <cell r="B2354" t="str">
            <v>M10X200 HANGER BOLTS W NUTS WOODEN BEAM</v>
          </cell>
          <cell r="E2354">
            <v>15.69</v>
          </cell>
          <cell r="G2354">
            <v>0</v>
          </cell>
        </row>
        <row r="2355">
          <cell r="A2355" t="str">
            <v>CON-10X25-HEX-KIT</v>
          </cell>
          <cell r="B2355" t="str">
            <v>M10X25 HEXAGON BOLT ASSEMBLY</v>
          </cell>
          <cell r="E2355">
            <v>1.66</v>
          </cell>
          <cell r="G2355">
            <v>0</v>
          </cell>
        </row>
        <row r="2356">
          <cell r="A2356" t="str">
            <v>CON-12MM-300A-BLK-QC</v>
          </cell>
          <cell r="B2356" t="str">
            <v>12MM 300A BLACK QUICK CONNECTOR</v>
          </cell>
          <cell r="E2356">
            <v>273.0951</v>
          </cell>
          <cell r="G2356">
            <v>0</v>
          </cell>
        </row>
        <row r="2357">
          <cell r="A2357" t="str">
            <v>CON-12MM-300A-RED-QC</v>
          </cell>
          <cell r="B2357" t="str">
            <v>12MM 300A RED QUICK CONNECTOR</v>
          </cell>
          <cell r="E2357">
            <v>273.08550000000002</v>
          </cell>
          <cell r="G2357">
            <v>0</v>
          </cell>
        </row>
        <row r="2358">
          <cell r="A2358" t="str">
            <v>CON-2-3PIN-ADAPTOR</v>
          </cell>
          <cell r="B2358" t="str">
            <v>2-3 PIN ADAPTOR</v>
          </cell>
          <cell r="E2358">
            <v>0</v>
          </cell>
          <cell r="G2358">
            <v>0</v>
          </cell>
        </row>
        <row r="2359">
          <cell r="A2359" t="str">
            <v>CON-50MM-PVC-CONDUIT</v>
          </cell>
          <cell r="B2359" t="str">
            <v>50MM PVC CONDUIT</v>
          </cell>
          <cell r="E2359">
            <v>98</v>
          </cell>
          <cell r="G2359">
            <v>0</v>
          </cell>
        </row>
        <row r="2360">
          <cell r="A2360" t="str">
            <v>CON-8MM-200A-BLK-QC</v>
          </cell>
          <cell r="B2360" t="str">
            <v>BATTERY SOCKET, 200A, BLACK</v>
          </cell>
          <cell r="E2360">
            <v>183.98</v>
          </cell>
          <cell r="G2360">
            <v>0</v>
          </cell>
        </row>
        <row r="2361">
          <cell r="A2361" t="str">
            <v>CON-8MM-200A-RED-QC</v>
          </cell>
          <cell r="B2361" t="str">
            <v>BATTERY SOCKET, 200A, RED</v>
          </cell>
          <cell r="E2361">
            <v>183.98</v>
          </cell>
          <cell r="G2361">
            <v>0</v>
          </cell>
        </row>
        <row r="2362">
          <cell r="A2362" t="str">
            <v>CON-CABLE-TIE-T50RFT</v>
          </cell>
          <cell r="B2362" t="str">
            <v>T50RFT5HSBK - 2 PIECE FIXING TIE FIR TREE &amp; DISC ROUND HOLES BK</v>
          </cell>
          <cell r="E2362">
            <v>6.4701599999999999</v>
          </cell>
          <cell r="G2362">
            <v>0</v>
          </cell>
        </row>
        <row r="2363">
          <cell r="A2363" t="str">
            <v>CON-CABTYRE-2.5MM-3</v>
          </cell>
          <cell r="B2363" t="str">
            <v>CABLE, CABTYRE, 2.5MM2, 3 CORE, BLACK</v>
          </cell>
          <cell r="E2363">
            <v>16</v>
          </cell>
          <cell r="G2363">
            <v>0</v>
          </cell>
        </row>
        <row r="2364">
          <cell r="A2364" t="str">
            <v>CON-FEM-CONN-3P-20A</v>
          </cell>
          <cell r="B2364" t="str">
            <v>20A 3P IP66 INLINE FEMALE CONNECTOR</v>
          </cell>
          <cell r="E2364">
            <v>64.654979999999995</v>
          </cell>
          <cell r="G2364">
            <v>0</v>
          </cell>
        </row>
        <row r="2365">
          <cell r="A2365" t="str">
            <v>CON-FERRULE-16MM2</v>
          </cell>
          <cell r="B2365" t="str">
            <v xml:space="preserve">16MM2 L-27 CRIMP FERRULE </v>
          </cell>
          <cell r="E2365">
            <v>4.6529999999999996</v>
          </cell>
          <cell r="G2365">
            <v>988</v>
          </cell>
        </row>
        <row r="2366">
          <cell r="A2366" t="str">
            <v>CON-HEAT-12.7MM-BLK</v>
          </cell>
          <cell r="B2366" t="str">
            <v>HEATSHRINK SGP 12.7/6.4MM BLACK</v>
          </cell>
          <cell r="E2366">
            <v>0</v>
          </cell>
          <cell r="G2366">
            <v>0</v>
          </cell>
        </row>
        <row r="2367">
          <cell r="A2367" t="str">
            <v>CON-HEAT-12.7MM-RED</v>
          </cell>
          <cell r="B2367" t="str">
            <v>HEATSHRINK SGP 12.7/6.4MM RED</v>
          </cell>
          <cell r="E2367">
            <v>0</v>
          </cell>
          <cell r="G2367">
            <v>0</v>
          </cell>
        </row>
        <row r="2368">
          <cell r="A2368" t="str">
            <v>CON-HEAT-19MM-BLK</v>
          </cell>
          <cell r="B2368" t="str">
            <v>HEATSHRINK SGP 19.0/9.5MM BLACK</v>
          </cell>
          <cell r="E2368">
            <v>0.59750000000000003</v>
          </cell>
          <cell r="G2368">
            <v>4</v>
          </cell>
        </row>
        <row r="2369">
          <cell r="A2369" t="str">
            <v>CON-HEAT-19MM-RED</v>
          </cell>
          <cell r="B2369" t="str">
            <v>HEATSHRINK SGP 19.0/9.5MM RED</v>
          </cell>
          <cell r="E2369">
            <v>0.65820000000000001</v>
          </cell>
          <cell r="G2369">
            <v>0</v>
          </cell>
        </row>
        <row r="2370">
          <cell r="A2370" t="str">
            <v>CON-HEAT-25.4MM-BLK</v>
          </cell>
          <cell r="B2370" t="str">
            <v>HEATSHRINK SGP 25.4/12.7MM BLACK</v>
          </cell>
          <cell r="E2370">
            <v>0.67559999999999998</v>
          </cell>
          <cell r="G2370">
            <v>0</v>
          </cell>
        </row>
        <row r="2371">
          <cell r="A2371" t="str">
            <v>CON-HEAT-25.4MM-RED</v>
          </cell>
          <cell r="B2371" t="str">
            <v>HEATSHRINK SGP 25.4/12.7MM RED</v>
          </cell>
          <cell r="E2371">
            <v>0.67600000000000005</v>
          </cell>
          <cell r="G2371">
            <v>5</v>
          </cell>
        </row>
        <row r="2372">
          <cell r="A2372" t="str">
            <v>CON-HEAT-CLEAR</v>
          </cell>
          <cell r="B2372" t="str">
            <v>104708 PS-1000-2-WT-2 PERMASLEEVE WM</v>
          </cell>
          <cell r="E2372">
            <v>14.49418</v>
          </cell>
          <cell r="G2372">
            <v>0</v>
          </cell>
        </row>
        <row r="2373">
          <cell r="A2373" t="str">
            <v>CON-HEAT-LABEL-YEL</v>
          </cell>
          <cell r="B2373" t="str">
            <v>3PS-500-2-YL - 50.8MM X 21.6MM YELLOW</v>
          </cell>
          <cell r="E2373">
            <v>18.59572</v>
          </cell>
          <cell r="G2373">
            <v>0</v>
          </cell>
        </row>
        <row r="2374">
          <cell r="A2374" t="str">
            <v>CON-M3X8-CAP-SCREW</v>
          </cell>
          <cell r="B2374" t="str">
            <v>M3X8 CAP SCREW STAINLESS A2 DIN912</v>
          </cell>
          <cell r="E2374">
            <v>0.22903999999999999</v>
          </cell>
          <cell r="G2374">
            <v>0</v>
          </cell>
        </row>
        <row r="2375">
          <cell r="A2375" t="str">
            <v>CON-M3X8-CSK-BLK</v>
          </cell>
          <cell r="B2375" t="str">
            <v>M3X8 CSK CAPSCREW BLACK</v>
          </cell>
          <cell r="E2375">
            <v>1.0933999999999999</v>
          </cell>
          <cell r="G2375">
            <v>0</v>
          </cell>
        </row>
        <row r="2376">
          <cell r="A2376" t="str">
            <v>CON-M4X12-CAP-SCREW</v>
          </cell>
          <cell r="B2376" t="str">
            <v>M4X12 CAP SCREW STAINLESS A2 DIN912</v>
          </cell>
          <cell r="E2376">
            <v>0.41249999999999998</v>
          </cell>
          <cell r="G2376">
            <v>0</v>
          </cell>
        </row>
        <row r="2377">
          <cell r="A2377" t="str">
            <v>CON-M4X12-S/C-GAL</v>
          </cell>
          <cell r="B2377" t="str">
            <v>M4X12 ALLEN CAPSCREW STAINLESS</v>
          </cell>
          <cell r="E2377">
            <v>0.52429999999999999</v>
          </cell>
          <cell r="G2377">
            <v>0</v>
          </cell>
        </row>
        <row r="2378">
          <cell r="A2378" t="str">
            <v>CON-M4X8-CSK-SS</v>
          </cell>
          <cell r="B2378" t="str">
            <v>M4X8 CSK ALLEN CAPSCREW STAINLESS</v>
          </cell>
          <cell r="E2378">
            <v>0.36070000000000002</v>
          </cell>
          <cell r="G2378">
            <v>0</v>
          </cell>
        </row>
        <row r="2379">
          <cell r="A2379" t="str">
            <v>CON-M5-SPRING-WASHER</v>
          </cell>
          <cell r="B2379" t="str">
            <v>M5 SPRING WASHER STAINLESS A2 DIN127B</v>
          </cell>
          <cell r="E2379">
            <v>6.8900000000000003E-2</v>
          </cell>
          <cell r="G2379">
            <v>0</v>
          </cell>
        </row>
        <row r="2380">
          <cell r="A2380" t="str">
            <v>CON-M5X10-HEX-SCREW</v>
          </cell>
          <cell r="B2380" t="str">
            <v>M5X10 HEX SET SCREW STAINLESS A2 DIN933</v>
          </cell>
          <cell r="E2380">
            <v>0.61850000000000005</v>
          </cell>
          <cell r="G2380">
            <v>0</v>
          </cell>
        </row>
        <row r="2381">
          <cell r="A2381" t="str">
            <v>CON-M5X6-B/H-CAP-S</v>
          </cell>
          <cell r="B2381" t="str">
            <v>BOLT, HEX HEAD, M5X6, SS</v>
          </cell>
          <cell r="E2381">
            <v>0.47849999999999998</v>
          </cell>
          <cell r="G2381">
            <v>0</v>
          </cell>
        </row>
        <row r="2382">
          <cell r="A2382" t="str">
            <v>CON-M6-FENDER-WASHER</v>
          </cell>
          <cell r="B2382" t="str">
            <v>M6 FENDER WASHER STAINLESS A2 DIN9021</v>
          </cell>
          <cell r="E2382">
            <v>0.43430000000000002</v>
          </cell>
          <cell r="G2382">
            <v>0</v>
          </cell>
        </row>
        <row r="2383">
          <cell r="A2383" t="str">
            <v>CON-M6X12-HEX-SCREW</v>
          </cell>
          <cell r="B2383" t="str">
            <v>M6X12 HEX SET SCREW STAINLESS A2 DIN933</v>
          </cell>
          <cell r="E2383">
            <v>0.7752</v>
          </cell>
          <cell r="G2383">
            <v>0</v>
          </cell>
        </row>
        <row r="2384">
          <cell r="A2384" t="str">
            <v>CON-M6X16-CAP-SCREW</v>
          </cell>
          <cell r="B2384" t="str">
            <v>M6X16 CAP SCREW STAINLESS A2 DIN912</v>
          </cell>
          <cell r="E2384">
            <v>0.77480000000000004</v>
          </cell>
          <cell r="G2384">
            <v>0</v>
          </cell>
        </row>
        <row r="2385">
          <cell r="A2385" t="str">
            <v>CON-M6X16-SET-SCREW</v>
          </cell>
          <cell r="B2385" t="str">
            <v>M6X16 SET SCREW STAINLESS A2 DIN933</v>
          </cell>
          <cell r="E2385">
            <v>0.78749999999999998</v>
          </cell>
          <cell r="G2385">
            <v>3756</v>
          </cell>
        </row>
        <row r="2386">
          <cell r="A2386" t="str">
            <v>CON-M6X25-CAP-SCREW</v>
          </cell>
          <cell r="B2386" t="str">
            <v>M6X25 CAP SCREW STAINLESS A2 DIN912</v>
          </cell>
          <cell r="E2386">
            <v>1.2090000000000001</v>
          </cell>
          <cell r="G2386">
            <v>0</v>
          </cell>
        </row>
        <row r="2387">
          <cell r="A2387" t="str">
            <v>CON-M6X35-CAP-SCREW</v>
          </cell>
          <cell r="B2387" t="str">
            <v>M6X35 CAP SCREW STAINLESS A2 DIN912</v>
          </cell>
          <cell r="E2387">
            <v>1.45</v>
          </cell>
          <cell r="G2387">
            <v>0</v>
          </cell>
        </row>
        <row r="2388">
          <cell r="A2388" t="str">
            <v>CON-M6X8-CAP-SCREW</v>
          </cell>
          <cell r="B2388" t="str">
            <v>BOLT, HEX HEAD, M6X10, SS</v>
          </cell>
          <cell r="E2388">
            <v>1.375</v>
          </cell>
          <cell r="G2388">
            <v>0</v>
          </cell>
        </row>
        <row r="2389">
          <cell r="A2389" t="str">
            <v>CON-M8-FLAT-WASHER</v>
          </cell>
          <cell r="B2389" t="str">
            <v>M8 FLAT WASHER DIN STAINLESS A2 DIN125B</v>
          </cell>
          <cell r="E2389">
            <v>0.17199999999999999</v>
          </cell>
          <cell r="G2389">
            <v>0</v>
          </cell>
        </row>
        <row r="2390">
          <cell r="A2390" t="str">
            <v>CON-M8X16-HEX-SCREW</v>
          </cell>
          <cell r="B2390" t="str">
            <v>M8X16 HEX SET SCREW STAINLESS A2 DIN933</v>
          </cell>
          <cell r="E2390">
            <v>1.9035</v>
          </cell>
          <cell r="G2390">
            <v>0</v>
          </cell>
        </row>
        <row r="2391">
          <cell r="A2391" t="str">
            <v>CON-M8X30-CAP-SCREW</v>
          </cell>
          <cell r="B2391" t="str">
            <v>M8X30 CAP SCREW STAINLESS A2 DIN912</v>
          </cell>
          <cell r="E2391">
            <v>2.375</v>
          </cell>
          <cell r="G2391">
            <v>0</v>
          </cell>
        </row>
        <row r="2392">
          <cell r="A2392" t="str">
            <v>CON-MALE-CONN-3P-20A</v>
          </cell>
          <cell r="B2392" t="str">
            <v>20A 3P INLINE MALE CONNECTOR</v>
          </cell>
          <cell r="E2392">
            <v>85.8</v>
          </cell>
          <cell r="G2392">
            <v>0</v>
          </cell>
        </row>
        <row r="2393">
          <cell r="A2393" t="str">
            <v>CON-MOUSE-WIRED</v>
          </cell>
          <cell r="B2393" t="str">
            <v>MOUSE WIRED</v>
          </cell>
          <cell r="E2393">
            <v>46.2</v>
          </cell>
          <cell r="G2393">
            <v>0</v>
          </cell>
        </row>
        <row r="2394">
          <cell r="A2394" t="str">
            <v>CONN-HQ-MC4-M/F</v>
          </cell>
          <cell r="B2394" t="str">
            <v>HQ-MC4 MALE AND FEMALE SET</v>
          </cell>
          <cell r="E2394">
            <v>0</v>
          </cell>
          <cell r="G2394">
            <v>0</v>
          </cell>
        </row>
        <row r="2395">
          <cell r="A2395" t="str">
            <v>CONN-MC4-50A</v>
          </cell>
          <cell r="B2395" t="str">
            <v>6MM2 PANEL MOUNT MC4 50A</v>
          </cell>
          <cell r="E2395">
            <v>14.7354</v>
          </cell>
          <cell r="G2395">
            <v>0</v>
          </cell>
        </row>
        <row r="2396">
          <cell r="A2396" t="str">
            <v>CON-PLUG-SOC-4X2-BLK</v>
          </cell>
          <cell r="B2396" t="str">
            <v>CRABTREE SOCKET HORIZON 4X2 BLK</v>
          </cell>
          <cell r="E2396">
            <v>64.503050000000002</v>
          </cell>
          <cell r="G2396">
            <v>0</v>
          </cell>
        </row>
        <row r="2397">
          <cell r="A2397" t="str">
            <v>CON-RIVET-4X12-BLACK</v>
          </cell>
          <cell r="B2397" t="str">
            <v>BLIND IVET D/H - 4.0X12 BLACK</v>
          </cell>
          <cell r="E2397">
            <v>0.25080999999999998</v>
          </cell>
          <cell r="G2397">
            <v>0</v>
          </cell>
        </row>
        <row r="2398">
          <cell r="A2398" t="str">
            <v>CON-RIVNUT-LF-04-RIB</v>
          </cell>
          <cell r="B2398" t="str">
            <v>ALUMINIUM RIVNUT LF 06 RIBBED</v>
          </cell>
          <cell r="E2398">
            <v>1.41309</v>
          </cell>
          <cell r="G2398">
            <v>0</v>
          </cell>
        </row>
        <row r="2399">
          <cell r="A2399" t="str">
            <v>CON-RIVNUT-LF-06-RIB</v>
          </cell>
          <cell r="B2399" t="str">
            <v>ALUMINIUM RIVNUT LF 04 RIBBED</v>
          </cell>
          <cell r="E2399">
            <v>1.16852</v>
          </cell>
          <cell r="G2399">
            <v>0</v>
          </cell>
        </row>
        <row r="2400">
          <cell r="A2400" t="str">
            <v>CON-RIVNUT-LF-08-RIB</v>
          </cell>
          <cell r="B2400" t="str">
            <v>ALUMINIUM RIVNUT LF 08 RIBBED</v>
          </cell>
          <cell r="E2400">
            <v>1.91994</v>
          </cell>
          <cell r="G2400">
            <v>0</v>
          </cell>
        </row>
        <row r="2401">
          <cell r="A2401" t="str">
            <v>CONS-COUP-1/4IN-BSP</v>
          </cell>
          <cell r="B2401" t="str">
            <v>FEMALE COUPLER 1/4 INCH BSP MILTON TYPE BRASS MATERIAL</v>
          </cell>
          <cell r="E2401">
            <v>17.391500000000001</v>
          </cell>
          <cell r="G2401">
            <v>0</v>
          </cell>
        </row>
        <row r="2402">
          <cell r="A2402" t="str">
            <v>CONS-COUPLER-F-1/4IN</v>
          </cell>
          <cell r="B2402" t="str">
            <v>T-TYPE HOSE JOINT 8MM HOSE BARB BRASS MATERIAL</v>
          </cell>
          <cell r="E2402">
            <v>43.478000000000002</v>
          </cell>
          <cell r="G2402">
            <v>0</v>
          </cell>
        </row>
        <row r="2403">
          <cell r="A2403" t="str">
            <v>CONS-HOSE-CLAMPS</v>
          </cell>
          <cell r="B2403" t="str">
            <v>HOSE CLAMPS GM6</v>
          </cell>
          <cell r="E2403">
            <v>15.651999999999999</v>
          </cell>
          <cell r="G2403">
            <v>0</v>
          </cell>
        </row>
        <row r="2404">
          <cell r="A2404" t="str">
            <v>CONS-HOSE-COUPLER</v>
          </cell>
          <cell r="B2404" t="str">
            <v>QUICK COUPLER HOSE FITTING 5/16 INCH (8MM) HOSE BARB FITTING</v>
          </cell>
          <cell r="E2404">
            <v>47.826000000000001</v>
          </cell>
          <cell r="G2404">
            <v>0</v>
          </cell>
        </row>
        <row r="2405">
          <cell r="A2405" t="str">
            <v>CONS-HOSE-JOINT-8MM</v>
          </cell>
          <cell r="B2405" t="str">
            <v>T-TYPE HOSE JOINT 8MM HOSE BARB BRASS MATERIAL</v>
          </cell>
          <cell r="E2405">
            <v>26.087</v>
          </cell>
          <cell r="G2405">
            <v>0</v>
          </cell>
        </row>
        <row r="2406">
          <cell r="A2406" t="str">
            <v>CONS-HOSE-PNEUMATIC</v>
          </cell>
          <cell r="B2406" t="str">
            <v>7.5M PNEUMATIC RECOIL HOSE 5X8MM 1/4 MALE THREAD</v>
          </cell>
          <cell r="E2406">
            <v>108.69499999999999</v>
          </cell>
          <cell r="G2406">
            <v>0</v>
          </cell>
        </row>
        <row r="2407">
          <cell r="A2407" t="str">
            <v>CONS-HOSE-PVC-FLEX</v>
          </cell>
          <cell r="B2407" t="str">
            <v>BLUE 20M PVC FLEXIBLE HOSE 8MM WITH COUPLERS</v>
          </cell>
          <cell r="E2407">
            <v>256.52</v>
          </cell>
          <cell r="G2407">
            <v>0</v>
          </cell>
        </row>
        <row r="2408">
          <cell r="A2408" t="str">
            <v>CON-SPACER-14CB-147</v>
          </cell>
          <cell r="B2408" t="str">
            <v>SPACER METAL FEM-FEM M3X8MM</v>
          </cell>
          <cell r="E2408">
            <v>1.7</v>
          </cell>
          <cell r="G2408">
            <v>0</v>
          </cell>
        </row>
        <row r="2409">
          <cell r="A2409" t="str">
            <v>CON-SPACER-14CE286</v>
          </cell>
          <cell r="B2409" t="str">
            <v>SPACER METAL FEM-FEM MX15MM</v>
          </cell>
          <cell r="E2409">
            <v>2.2999999999999998</v>
          </cell>
          <cell r="G2409">
            <v>0</v>
          </cell>
        </row>
        <row r="2410">
          <cell r="A2410" t="str">
            <v>CON-TERM-BLCK-2.54-2</v>
          </cell>
          <cell r="B2410" t="str">
            <v>14C0627 - SCREW TERMINAL BLOCK N/C PCB 2W 2.54 STRAIGHT</v>
          </cell>
          <cell r="E2410">
            <v>2.8</v>
          </cell>
          <cell r="G2410">
            <v>0</v>
          </cell>
        </row>
        <row r="2411">
          <cell r="A2411" t="str">
            <v>CON-USB-2M</v>
          </cell>
          <cell r="B2411" t="str">
            <v>DATALOGIC CABLE USB TYPE A BLK 2M STRAIGHT</v>
          </cell>
          <cell r="E2411">
            <v>175</v>
          </cell>
          <cell r="G2411">
            <v>0</v>
          </cell>
        </row>
        <row r="2412">
          <cell r="A2412" t="str">
            <v>DELETE</v>
          </cell>
          <cell r="B2412" t="str">
            <v>Partion plate, Din rail mount</v>
          </cell>
          <cell r="E2412">
            <v>0</v>
          </cell>
          <cell r="G2412">
            <v>0</v>
          </cell>
        </row>
        <row r="2413">
          <cell r="A2413" t="str">
            <v>ELC-CONV-ACDC-12V-4W</v>
          </cell>
          <cell r="B2413" t="str">
            <v>LS05-K3B12SS AC/DC CONVERTER 12V 4W</v>
          </cell>
          <cell r="E2413">
            <v>0</v>
          </cell>
          <cell r="G2413">
            <v>0</v>
          </cell>
        </row>
        <row r="2414">
          <cell r="A2414" t="str">
            <v>ELC-FUSE-BRD-1A-350V</v>
          </cell>
          <cell r="B2414" t="str">
            <v>0679H1000-05 FUSE BOARD MNT 1A 350VAC 72VDC</v>
          </cell>
          <cell r="E2414">
            <v>0</v>
          </cell>
          <cell r="G2414">
            <v>0</v>
          </cell>
        </row>
        <row r="2415">
          <cell r="A2415" t="str">
            <v>ELC-IC-OPAMP-GP-2-CI</v>
          </cell>
          <cell r="B2415" t="str">
            <v>NCV20072DR2G IC OPAMP GP 2 CIRCUIT 8SOIC</v>
          </cell>
          <cell r="E2415">
            <v>0</v>
          </cell>
          <cell r="G2415">
            <v>0</v>
          </cell>
        </row>
        <row r="2416">
          <cell r="A2416" t="str">
            <v>ELC-IC-OPAMP-GP2-CIR</v>
          </cell>
          <cell r="B2416" t="str">
            <v>LM358DR2G IC OPAMP GP 2 CIRCUIT 8SOIC</v>
          </cell>
          <cell r="E2416">
            <v>0</v>
          </cell>
          <cell r="G2416">
            <v>0</v>
          </cell>
        </row>
        <row r="2417">
          <cell r="A2417" t="str">
            <v>ELC-RES-10K-OHM-071K</v>
          </cell>
          <cell r="B2417" t="str">
            <v>RC0805FR-0710KL RES 10K OHM 1PERC 1/8W 0805</v>
          </cell>
          <cell r="E2417">
            <v>0</v>
          </cell>
          <cell r="G2417">
            <v>0</v>
          </cell>
        </row>
        <row r="2418">
          <cell r="A2418" t="str">
            <v>ELC-RES-1K-OHM-071KL</v>
          </cell>
          <cell r="B2418" t="str">
            <v>RC0805FR-071KL RES 1K OHM 1PERC 1/8W 0805</v>
          </cell>
          <cell r="E2418">
            <v>0</v>
          </cell>
          <cell r="G2418">
            <v>0</v>
          </cell>
        </row>
        <row r="2419">
          <cell r="A2419" t="str">
            <v>ELC-RES-1M-OHM</v>
          </cell>
          <cell r="B2419" t="str">
            <v>RC0805FR-071ML RES 1M OHM 1PERC 1/8W 0805</v>
          </cell>
          <cell r="E2419">
            <v>0</v>
          </cell>
          <cell r="G2419">
            <v>0</v>
          </cell>
        </row>
        <row r="2420">
          <cell r="A2420" t="str">
            <v>ELC-TRANS-FZT753TR</v>
          </cell>
          <cell r="B2420" t="str">
            <v>FZT753TR TRANS PNP 100V 2A SOT223-3</v>
          </cell>
          <cell r="E2420">
            <v>0</v>
          </cell>
          <cell r="G2420">
            <v>0</v>
          </cell>
        </row>
        <row r="2421">
          <cell r="A2421" t="str">
            <v>ELE-BLK-PLG-8MM-150</v>
          </cell>
          <cell r="B2421" t="str">
            <v>8MM 150A BLACK PLUG AND SOCKET</v>
          </cell>
          <cell r="E2421">
            <v>219.43690000000001</v>
          </cell>
          <cell r="G2421">
            <v>0</v>
          </cell>
        </row>
        <row r="2422">
          <cell r="A2422" t="str">
            <v>ELE-RED-PLG-8MM-150A</v>
          </cell>
          <cell r="B2422" t="str">
            <v>8MM 150A RED PLUG AND SOCKET</v>
          </cell>
          <cell r="E2422">
            <v>219.4359</v>
          </cell>
          <cell r="G2422">
            <v>0</v>
          </cell>
        </row>
        <row r="2423">
          <cell r="A2423" t="str">
            <v>ENCL-2K-CONTR-COVER</v>
          </cell>
          <cell r="B2423" t="str">
            <v>VOLTA 2K, CONTROLLER COVER</v>
          </cell>
          <cell r="E2423">
            <v>51.96</v>
          </cell>
          <cell r="G2423">
            <v>0</v>
          </cell>
        </row>
        <row r="2424">
          <cell r="A2424" t="str">
            <v>ENCL-B24-BASE-COATED</v>
          </cell>
          <cell r="B2424" t="str">
            <v>B24 BASE COATED</v>
          </cell>
          <cell r="E2424">
            <v>288.10377</v>
          </cell>
          <cell r="G2424">
            <v>0</v>
          </cell>
        </row>
        <row r="2425">
          <cell r="A2425" t="str">
            <v>ENCL-B48-BASE-COATED</v>
          </cell>
          <cell r="B2425" t="str">
            <v>B48 BASE -COATED</v>
          </cell>
          <cell r="E2425">
            <v>483.1</v>
          </cell>
          <cell r="G2425">
            <v>0</v>
          </cell>
        </row>
        <row r="2426">
          <cell r="A2426" t="str">
            <v>ENCL-MOUNTING-CLEAT</v>
          </cell>
          <cell r="B2426" t="str">
            <v>MOUNTING CLEAT</v>
          </cell>
          <cell r="E2426">
            <v>25</v>
          </cell>
          <cell r="G2426">
            <v>0</v>
          </cell>
        </row>
        <row r="2427">
          <cell r="A2427" t="str">
            <v>ENCL-SSEG-BAT-H/BASE</v>
          </cell>
          <cell r="B2427" t="str">
            <v>SSEG BATTERY HOUSING BASE</v>
          </cell>
          <cell r="E2427">
            <v>223</v>
          </cell>
          <cell r="G2427">
            <v>0</v>
          </cell>
        </row>
        <row r="2428">
          <cell r="A2428" t="str">
            <v>ENCL-SSEG-BP-STRAP</v>
          </cell>
          <cell r="B2428" t="str">
            <v>BP STRAP 8 CELL COATED CR</v>
          </cell>
          <cell r="E2428">
            <v>103.06103</v>
          </cell>
          <cell r="G2428">
            <v>0</v>
          </cell>
        </row>
        <row r="2429">
          <cell r="A2429" t="str">
            <v>ENCL-SSEG-CONTR-COVE</v>
          </cell>
          <cell r="B2429" t="str">
            <v>SSEG CONTROLLER COVER</v>
          </cell>
          <cell r="E2429">
            <v>93.27</v>
          </cell>
          <cell r="G2429">
            <v>0</v>
          </cell>
        </row>
        <row r="2430">
          <cell r="A2430" t="str">
            <v>ENCL-SSEG-INV-COV-PR</v>
          </cell>
          <cell r="B2430" t="str">
            <v>SSEG COVER PRINTED HR</v>
          </cell>
          <cell r="E2430">
            <v>2138.64</v>
          </cell>
          <cell r="G2430">
            <v>0</v>
          </cell>
        </row>
        <row r="2431">
          <cell r="A2431" t="str">
            <v>ENCL-SSEG-INV-DB-F/P</v>
          </cell>
          <cell r="B2431" t="str">
            <v>SSEG INVERTER DB FACEPLATE CR</v>
          </cell>
          <cell r="E2431">
            <v>179.78946999999999</v>
          </cell>
          <cell r="G2431">
            <v>0</v>
          </cell>
        </row>
        <row r="2432">
          <cell r="A2432" t="str">
            <v>ENCL-SSEG-INV-H/BASE</v>
          </cell>
          <cell r="B2432" t="str">
            <v>SSEG INVERTER HOUSING BASE</v>
          </cell>
          <cell r="E2432">
            <v>683.76307999999995</v>
          </cell>
          <cell r="G2432">
            <v>0</v>
          </cell>
        </row>
        <row r="2433">
          <cell r="A2433" t="str">
            <v>ENCL-UPS-2K-C/SCREEN</v>
          </cell>
          <cell r="B2433" t="str">
            <v>UPS 2 COVER SCREEN PRINTED HR</v>
          </cell>
          <cell r="E2433">
            <v>850</v>
          </cell>
          <cell r="G2433">
            <v>0</v>
          </cell>
        </row>
        <row r="2434">
          <cell r="A2434" t="str">
            <v>ENCL-UPS-2K-DB/BASE</v>
          </cell>
          <cell r="B2434" t="str">
            <v>UPS 2K DB BASE ASSEMBLY CR</v>
          </cell>
          <cell r="E2434">
            <v>531</v>
          </cell>
          <cell r="G2434">
            <v>0</v>
          </cell>
        </row>
        <row r="2435">
          <cell r="A2435" t="str">
            <v>ENCL-UPS-2K-H/BASE</v>
          </cell>
          <cell r="B2435" t="str">
            <v>UPS 2K HOUSING BASE</v>
          </cell>
          <cell r="E2435">
            <v>933.66</v>
          </cell>
          <cell r="G2435">
            <v>0</v>
          </cell>
        </row>
        <row r="2436">
          <cell r="A2436" t="str">
            <v>END-W40A-PLASTIC</v>
          </cell>
          <cell r="B2436" t="str">
            <v>PLASTIC END CAP OF W40A RAIL</v>
          </cell>
          <cell r="E2436">
            <v>0</v>
          </cell>
          <cell r="G2436">
            <v>0</v>
          </cell>
        </row>
        <row r="2437">
          <cell r="A2437" t="str">
            <v>INV-ATESS-ENERLOG</v>
          </cell>
          <cell r="B2437" t="str">
            <v>ATESS ENERLOG - ONLINE MONITORING DATA LOGGER - SHINEMASTER</v>
          </cell>
          <cell r="E2437">
            <v>9032.5300000000007</v>
          </cell>
          <cell r="G2437">
            <v>0</v>
          </cell>
        </row>
        <row r="2438">
          <cell r="A2438" t="str">
            <v>INV-BELT-20A-CHG-12V</v>
          </cell>
          <cell r="B2438" t="str">
            <v>BELTTT BATERRY CHARGER 12V-20A-220V</v>
          </cell>
          <cell r="E2438">
            <v>446.61</v>
          </cell>
          <cell r="G2438">
            <v>0</v>
          </cell>
        </row>
        <row r="2439">
          <cell r="A2439" t="str">
            <v>INV-SMRT-METER-1PH</v>
          </cell>
          <cell r="B2439" t="str">
            <v>SMART METER (1-PHASE)</v>
          </cell>
          <cell r="E2439">
            <v>469.28</v>
          </cell>
          <cell r="G2439">
            <v>0</v>
          </cell>
        </row>
        <row r="2440">
          <cell r="A2440" t="str">
            <v>INV-SMRT-METER-3PH</v>
          </cell>
          <cell r="B2440" t="str">
            <v>SMART METER (3-PHASE)</v>
          </cell>
          <cell r="E2440">
            <v>1513.55</v>
          </cell>
          <cell r="G2440">
            <v>0</v>
          </cell>
        </row>
        <row r="2441">
          <cell r="A2441" t="str">
            <v>JUSTWORX-SIM-003</v>
          </cell>
          <cell r="B2441" t="str">
            <v>MFF2 QFN8 JUSTWORX MULTI SIM/DATA PACKAGE</v>
          </cell>
          <cell r="E2441">
            <v>277.64999999999998</v>
          </cell>
          <cell r="G2441">
            <v>11</v>
          </cell>
        </row>
        <row r="2442">
          <cell r="A2442" t="str">
            <v>MET006</v>
          </cell>
          <cell r="B2442" t="str">
            <v>TBB SDM630-MODBUS 3 Phase Meter</v>
          </cell>
          <cell r="E2442">
            <v>1828.68</v>
          </cell>
          <cell r="G2442">
            <v>0</v>
          </cell>
        </row>
        <row r="2443">
          <cell r="A2443" t="str">
            <v>MF286C</v>
          </cell>
          <cell r="B2443" t="str">
            <v>ZTE MF286C ROUTER</v>
          </cell>
          <cell r="E2443">
            <v>868.7</v>
          </cell>
          <cell r="G2443">
            <v>0</v>
          </cell>
        </row>
        <row r="2444">
          <cell r="A2444" t="str">
            <v>NUV-IC-MCU</v>
          </cell>
          <cell r="B2444" t="str">
            <v>STM32L486JGY6TR - IC MCU 32BIT 1MB FLASH 72WLCSP</v>
          </cell>
          <cell r="E2444">
            <v>0</v>
          </cell>
          <cell r="G2444">
            <v>0</v>
          </cell>
        </row>
        <row r="2445">
          <cell r="A2445" t="str">
            <v>PALLET-E1</v>
          </cell>
          <cell r="B2445" t="str">
            <v>PALLET E1</v>
          </cell>
          <cell r="E2445">
            <v>300</v>
          </cell>
          <cell r="G2445">
            <v>7</v>
          </cell>
        </row>
        <row r="2446">
          <cell r="A2446" t="str">
            <v>PALLET-E2</v>
          </cell>
          <cell r="B2446" t="str">
            <v>PALLET E2</v>
          </cell>
          <cell r="E2446">
            <v>250</v>
          </cell>
          <cell r="G2446">
            <v>0</v>
          </cell>
        </row>
        <row r="2447">
          <cell r="A2447" t="str">
            <v>PWR-DC-MOD</v>
          </cell>
          <cell r="B2447" t="str">
            <v>DC POWER MODULE</v>
          </cell>
          <cell r="E2447">
            <v>0</v>
          </cell>
          <cell r="G2447">
            <v>0</v>
          </cell>
        </row>
        <row r="2448">
          <cell r="A2448" t="str">
            <v>QUE-TEA-BOARD</v>
          </cell>
          <cell r="B2448" t="str">
            <v>QUECTEL MULTIMODE LTE MODULE ON ADAPTER BOARD</v>
          </cell>
          <cell r="E2448">
            <v>781.35</v>
          </cell>
          <cell r="G2448">
            <v>0</v>
          </cell>
        </row>
        <row r="2449">
          <cell r="A2449" t="str">
            <v>QUE-UMTS/LTEEVB-KIT</v>
          </cell>
          <cell r="B2449" t="str">
            <v>QUECTEL UMTS / LTEEVB-KIT</v>
          </cell>
          <cell r="E2449">
            <v>1967.25</v>
          </cell>
          <cell r="G2449">
            <v>0</v>
          </cell>
        </row>
        <row r="2450">
          <cell r="A2450" t="str">
            <v>RAI-ADJ TRI HQ-TR336</v>
          </cell>
          <cell r="B2450" t="str">
            <v>ADJUSTABLE TRIANGLE HQ-TR-336</v>
          </cell>
          <cell r="E2450">
            <v>0</v>
          </cell>
          <cell r="G2450">
            <v>0</v>
          </cell>
        </row>
        <row r="2451">
          <cell r="A2451" t="str">
            <v>RAI-CLAMP-END-35MM</v>
          </cell>
          <cell r="B2451" t="str">
            <v>EC01 END CLAMP 35MM MODULE AI-6005-T5</v>
          </cell>
          <cell r="E2451">
            <v>7.2</v>
          </cell>
          <cell r="G2451">
            <v>0</v>
          </cell>
        </row>
        <row r="2452">
          <cell r="A2452" t="str">
            <v>RAI-CLAMP-END-40MM</v>
          </cell>
          <cell r="B2452" t="str">
            <v>IC01 END CLAMP 40MM MODULE AI-6005-T5</v>
          </cell>
          <cell r="E2452">
            <v>0</v>
          </cell>
          <cell r="G2452">
            <v>0</v>
          </cell>
        </row>
        <row r="2453">
          <cell r="A2453" t="str">
            <v>RAI-CLAMP-END-40-RA</v>
          </cell>
          <cell r="B2453" t="str">
            <v>RAPID END CLAMP FOR 40MM MOD AI-6005-T5</v>
          </cell>
          <cell r="E2453">
            <v>0</v>
          </cell>
          <cell r="G2453">
            <v>0</v>
          </cell>
        </row>
        <row r="2454">
          <cell r="A2454" t="str">
            <v>RAI-CLAMP-HQ-SS-H01</v>
          </cell>
          <cell r="B2454" t="str">
            <v>SOLAR HOOK HQ-SS-H01 01</v>
          </cell>
          <cell r="E2454">
            <v>0</v>
          </cell>
          <cell r="G2454">
            <v>0</v>
          </cell>
        </row>
        <row r="2455">
          <cell r="A2455" t="str">
            <v>RAI-CLAMP-KLIPLOK02A</v>
          </cell>
          <cell r="B2455" t="str">
            <v>KLIPLOK SS02A, WITH FASTENERS AI-6005-T5</v>
          </cell>
          <cell r="E2455">
            <v>32.86</v>
          </cell>
          <cell r="G2455">
            <v>0</v>
          </cell>
        </row>
        <row r="2456">
          <cell r="A2456" t="str">
            <v>RAI-CLAMP-KLIPLOK406</v>
          </cell>
          <cell r="B2456" t="str">
            <v>KLIPLOK 406, WITH FASTENERS AI-6005-T5</v>
          </cell>
          <cell r="E2456">
            <v>32.86</v>
          </cell>
          <cell r="G2456">
            <v>0</v>
          </cell>
        </row>
        <row r="2457">
          <cell r="A2457" t="str">
            <v>RAI-CLAMP-L-FEET KIT</v>
          </cell>
          <cell r="B2457" t="str">
            <v>L-FEET KIT</v>
          </cell>
          <cell r="E2457">
            <v>14.58</v>
          </cell>
          <cell r="G2457">
            <v>0</v>
          </cell>
        </row>
        <row r="2458">
          <cell r="A2458" t="str">
            <v>RAI-CLAMP-MID-35MM</v>
          </cell>
          <cell r="B2458" t="str">
            <v>IC01 MID CLAMP 35MM MODULE AI-6005-T5</v>
          </cell>
          <cell r="E2458">
            <v>8.1199999999999992</v>
          </cell>
          <cell r="G2458">
            <v>0</v>
          </cell>
        </row>
        <row r="2459">
          <cell r="A2459" t="str">
            <v>RAI-CLAMP-MID-40MM</v>
          </cell>
          <cell r="B2459" t="str">
            <v>IC01 MID CLAMP 40MM MODULE AI-6005-T5</v>
          </cell>
          <cell r="E2459">
            <v>0</v>
          </cell>
          <cell r="G2459">
            <v>0</v>
          </cell>
        </row>
        <row r="2460">
          <cell r="A2460" t="str">
            <v>RAI-CLAMP-MID-40-RA</v>
          </cell>
          <cell r="B2460" t="str">
            <v>RAPID MID CLAMP FOR 40MM MOD AI-6005-T5</v>
          </cell>
          <cell r="E2460">
            <v>0</v>
          </cell>
          <cell r="G2460">
            <v>0</v>
          </cell>
        </row>
        <row r="2461">
          <cell r="A2461" t="str">
            <v>RAI-CLAMP-SUS304</v>
          </cell>
          <cell r="B2461" t="str">
            <v>SOLAR HOOK FOR WOOD PURLIN SUS304</v>
          </cell>
          <cell r="E2461">
            <v>47.45</v>
          </cell>
          <cell r="G2461">
            <v>0</v>
          </cell>
        </row>
        <row r="2462">
          <cell r="A2462" t="str">
            <v>RAIL-CLAMP-CROSS</v>
          </cell>
          <cell r="B2462" t="str">
            <v>CROSS RAIL CLAMPS AI-6005-T5</v>
          </cell>
          <cell r="E2462">
            <v>0</v>
          </cell>
          <cell r="G2462">
            <v>0</v>
          </cell>
        </row>
        <row r="2463">
          <cell r="A2463" t="str">
            <v>RAI-W40A-4M-AI6005T5</v>
          </cell>
          <cell r="B2463" t="str">
            <v>HQ W40A RAIL-L4200MM AI-6005-T5</v>
          </cell>
          <cell r="E2463">
            <v>208.06</v>
          </cell>
          <cell r="G2463">
            <v>0</v>
          </cell>
        </row>
        <row r="2464">
          <cell r="A2464" t="str">
            <v>RAI-W40A-SPLICE</v>
          </cell>
          <cell r="B2464" t="str">
            <v>RAIL SPLICE OF W40A AI-6005-T5</v>
          </cell>
          <cell r="E2464">
            <v>12.74</v>
          </cell>
          <cell r="G2464">
            <v>0</v>
          </cell>
        </row>
        <row r="2465">
          <cell r="A2465" t="str">
            <v>RND_EPP</v>
          </cell>
          <cell r="B2465" t="str">
            <v>Ethernet Protection Port</v>
          </cell>
          <cell r="E2465">
            <v>0</v>
          </cell>
          <cell r="G2465">
            <v>0</v>
          </cell>
        </row>
        <row r="2466">
          <cell r="A2466" t="str">
            <v>RND_MDP105_001</v>
          </cell>
          <cell r="B2466" t="str">
            <v>IC MCU 8BIT</v>
          </cell>
          <cell r="E2466">
            <v>19.28</v>
          </cell>
          <cell r="G2466">
            <v>0</v>
          </cell>
        </row>
        <row r="2467">
          <cell r="A2467" t="str">
            <v>RND_MDP105_002</v>
          </cell>
          <cell r="B2467" t="str">
            <v>MOSFET 100V 120A</v>
          </cell>
          <cell r="E2467">
            <v>89.51</v>
          </cell>
          <cell r="G2467">
            <v>0</v>
          </cell>
        </row>
        <row r="2468">
          <cell r="A2468" t="str">
            <v>RND_MDP107_001</v>
          </cell>
          <cell r="B2468" t="str">
            <v>ELEMENT BOX</v>
          </cell>
          <cell r="E2468">
            <v>1789</v>
          </cell>
          <cell r="G2468">
            <v>0</v>
          </cell>
        </row>
        <row r="2469">
          <cell r="A2469" t="str">
            <v>RND_MDP108_001</v>
          </cell>
          <cell r="B2469" t="str">
            <v>6A 1P 6kA C-CURVE MCB</v>
          </cell>
          <cell r="E2469">
            <v>53.55</v>
          </cell>
          <cell r="G2469">
            <v>0</v>
          </cell>
        </row>
        <row r="2470">
          <cell r="A2470" t="str">
            <v>RND_MDP108_002</v>
          </cell>
          <cell r="B2470" t="str">
            <v>3A 1P 6kA C-CURVE MCB</v>
          </cell>
          <cell r="E2470">
            <v>95.34</v>
          </cell>
          <cell r="G2470">
            <v>0</v>
          </cell>
        </row>
        <row r="2471">
          <cell r="A2471" t="str">
            <v>RND_MDP108_003</v>
          </cell>
          <cell r="B2471" t="str">
            <v>1A 1P 6kA C-CURVE MCB</v>
          </cell>
          <cell r="E2471">
            <v>95.34</v>
          </cell>
          <cell r="G2471">
            <v>0</v>
          </cell>
        </row>
        <row r="2472">
          <cell r="A2472" t="str">
            <v>RND_MDP109_001</v>
          </cell>
          <cell r="B2472" t="str">
            <v>220V AXIAL FAN</v>
          </cell>
          <cell r="E2472">
            <v>180</v>
          </cell>
          <cell r="G2472">
            <v>0</v>
          </cell>
        </row>
        <row r="2473">
          <cell r="A2473" t="str">
            <v>RND_MDP109_002</v>
          </cell>
          <cell r="B2473" t="str">
            <v>PLUGTOP RUBBER BLACK</v>
          </cell>
          <cell r="E2473">
            <v>28</v>
          </cell>
          <cell r="G2473">
            <v>0</v>
          </cell>
        </row>
        <row r="2474">
          <cell r="A2474" t="str">
            <v>RND_MDP109_003</v>
          </cell>
          <cell r="B2474" t="str">
            <v>TWIN FELX BLACK/RED</v>
          </cell>
          <cell r="E2474">
            <v>9</v>
          </cell>
          <cell r="G2474">
            <v>0</v>
          </cell>
        </row>
        <row r="2475">
          <cell r="A2475" t="str">
            <v>RND_MDP110_001</v>
          </cell>
          <cell r="B2475" t="str">
            <v>Element</v>
          </cell>
          <cell r="E2475">
            <v>147</v>
          </cell>
          <cell r="G2475">
            <v>0</v>
          </cell>
        </row>
        <row r="2476">
          <cell r="A2476" t="str">
            <v>RND_MDP112_001</v>
          </cell>
          <cell r="B2476" t="str">
            <v>CAP CER 0.33UF 25V X7R 0603</v>
          </cell>
          <cell r="E2476">
            <v>2.16</v>
          </cell>
          <cell r="G2476">
            <v>0</v>
          </cell>
        </row>
        <row r="2477">
          <cell r="A2477" t="str">
            <v>RND_MDP112_002</v>
          </cell>
          <cell r="B2477" t="str">
            <v>CAP CER 0.1UF 25V X7R 0603</v>
          </cell>
          <cell r="E2477">
            <v>0.54</v>
          </cell>
          <cell r="G2477">
            <v>0</v>
          </cell>
        </row>
        <row r="2478">
          <cell r="A2478" t="str">
            <v>RND_MDP112_003</v>
          </cell>
          <cell r="B2478" t="str">
            <v>CAP ALUM 10UF 20% 16V SMD</v>
          </cell>
          <cell r="E2478">
            <v>4.1100000000000003</v>
          </cell>
          <cell r="G2478">
            <v>0</v>
          </cell>
        </row>
        <row r="2479">
          <cell r="A2479" t="str">
            <v>RND_MDP112_004</v>
          </cell>
          <cell r="B2479" t="str">
            <v>Capacitors - SMD 400V 10uF 2000Hours ESR=18Ohms 20%</v>
          </cell>
          <cell r="E2479">
            <v>25.47</v>
          </cell>
          <cell r="G2479">
            <v>0</v>
          </cell>
        </row>
        <row r="2480">
          <cell r="A2480" t="str">
            <v>RND_MDP112_005</v>
          </cell>
          <cell r="B2480" t="str">
            <v>CAP ALUM 220UF 20% 16V SMD</v>
          </cell>
          <cell r="E2480">
            <v>7.99</v>
          </cell>
          <cell r="G2480">
            <v>0</v>
          </cell>
        </row>
        <row r="2481">
          <cell r="A2481" t="str">
            <v>RND_MDP112_006</v>
          </cell>
          <cell r="B2481" t="str">
            <v>CAP CER 1UF 16V X5R 0603</v>
          </cell>
          <cell r="E2481">
            <v>2.16</v>
          </cell>
          <cell r="G2481">
            <v>0</v>
          </cell>
        </row>
        <row r="2482">
          <cell r="A2482" t="str">
            <v>RND_MDP112_007</v>
          </cell>
          <cell r="B2482" t="str">
            <v>CONN HEADER VERT 4POS 2.54MM</v>
          </cell>
          <cell r="E2482">
            <v>2.23</v>
          </cell>
          <cell r="G2482">
            <v>0</v>
          </cell>
        </row>
        <row r="2483">
          <cell r="A2483" t="str">
            <v>RND_MDP112_008</v>
          </cell>
          <cell r="B2483" t="str">
            <v>CONN HEADER VERT 2POS 2.5MM</v>
          </cell>
          <cell r="E2483">
            <v>3.48</v>
          </cell>
          <cell r="G2483">
            <v>0</v>
          </cell>
        </row>
        <row r="2484">
          <cell r="A2484" t="str">
            <v>RND_MDP112_009</v>
          </cell>
          <cell r="B2484" t="str">
            <v>CAP FILM 0.1UF 10% 275VAC RADIAL</v>
          </cell>
          <cell r="E2484">
            <v>2.44</v>
          </cell>
          <cell r="G2484">
            <v>0</v>
          </cell>
        </row>
        <row r="2485">
          <cell r="A2485" t="str">
            <v>RND_MDP112_010</v>
          </cell>
          <cell r="B2485" t="str">
            <v>DIODE GEN PURP 75V 150MA SOD323</v>
          </cell>
          <cell r="E2485">
            <v>1.94</v>
          </cell>
          <cell r="G2485">
            <v>0</v>
          </cell>
        </row>
        <row r="2486">
          <cell r="A2486" t="str">
            <v>RND_MDP112_011</v>
          </cell>
          <cell r="B2486" t="str">
            <v>FUSE CLIP CARTRIDGE 10A PCB</v>
          </cell>
          <cell r="E2486">
            <v>3.81</v>
          </cell>
          <cell r="G2486">
            <v>0</v>
          </cell>
        </row>
        <row r="2487">
          <cell r="A2487" t="str">
            <v>RND_MDP112_012</v>
          </cell>
          <cell r="B2487" t="str">
            <v>FUSE BRD MNT 100MA 250VAC 125VDC</v>
          </cell>
          <cell r="E2487">
            <v>14.26</v>
          </cell>
          <cell r="G2487">
            <v>0</v>
          </cell>
        </row>
        <row r="2488">
          <cell r="A2488" t="str">
            <v>RND_MDP112_013</v>
          </cell>
          <cell r="B2488" t="str">
            <v>RELAY GEN PURPOSE DPST 8A 12V</v>
          </cell>
          <cell r="E2488">
            <v>89.36</v>
          </cell>
          <cell r="G2488">
            <v>0</v>
          </cell>
        </row>
        <row r="2489">
          <cell r="A2489" t="str">
            <v>RND_MDP112_014</v>
          </cell>
          <cell r="B2489" t="str">
            <v>General Purpose Relays</v>
          </cell>
          <cell r="E2489">
            <v>70.17</v>
          </cell>
          <cell r="G2489">
            <v>0</v>
          </cell>
        </row>
        <row r="2490">
          <cell r="A2490" t="str">
            <v>RND_MDP112_015</v>
          </cell>
          <cell r="B2490" t="str">
            <v>RELAY GEN PURPOSE SPST 10A 12V</v>
          </cell>
          <cell r="E2490">
            <v>36.369999999999997</v>
          </cell>
          <cell r="G2490">
            <v>0</v>
          </cell>
        </row>
        <row r="2491">
          <cell r="A2491" t="str">
            <v>RND_MDP112_016</v>
          </cell>
          <cell r="B2491" t="str">
            <v>FIXED IND 1.2MH 60MA 30 OHM SMD</v>
          </cell>
          <cell r="E2491">
            <v>13.84</v>
          </cell>
          <cell r="G2491">
            <v>0</v>
          </cell>
        </row>
        <row r="2492">
          <cell r="A2492" t="str">
            <v>RND_MDP112_017</v>
          </cell>
          <cell r="B2492" t="str">
            <v>VARISTOR 390V 2.5KA DISC 10MM</v>
          </cell>
          <cell r="E2492">
            <v>6.98</v>
          </cell>
          <cell r="G2492">
            <v>0</v>
          </cell>
        </row>
        <row r="2493">
          <cell r="A2493" t="str">
            <v>RND_MDP112_018</v>
          </cell>
          <cell r="B2493" t="str">
            <v>AC/DC CONVERTER 12V 3W</v>
          </cell>
          <cell r="E2493">
            <v>30.98</v>
          </cell>
          <cell r="G2493">
            <v>0</v>
          </cell>
        </row>
        <row r="2494">
          <cell r="A2494" t="str">
            <v>RND_MDP112_019</v>
          </cell>
          <cell r="B2494" t="str">
            <v>TRANS NPN 40V 0.6A SOT23</v>
          </cell>
          <cell r="E2494">
            <v>2.0099999999999998</v>
          </cell>
          <cell r="G2494">
            <v>0</v>
          </cell>
        </row>
        <row r="2495">
          <cell r="A2495" t="str">
            <v>RND_MDP112_020</v>
          </cell>
          <cell r="B2495" t="str">
            <v>TRIAC SENS GATE 800V 12A D2PAK</v>
          </cell>
          <cell r="E2495">
            <v>21.82</v>
          </cell>
          <cell r="G2495">
            <v>0</v>
          </cell>
        </row>
        <row r="2496">
          <cell r="A2496" t="str">
            <v>RND_MDP112_021</v>
          </cell>
          <cell r="B2496" t="str">
            <v>RES 3.9K OHM 1% 1/10W 0603</v>
          </cell>
          <cell r="E2496">
            <v>0.39</v>
          </cell>
          <cell r="G2496">
            <v>0</v>
          </cell>
        </row>
        <row r="2497">
          <cell r="A2497" t="str">
            <v>RND_MDP112_022</v>
          </cell>
          <cell r="B2497" t="str">
            <v>RES 3.3K OHM 1% 1/10W 0603</v>
          </cell>
          <cell r="E2497">
            <v>0.39</v>
          </cell>
          <cell r="G2497">
            <v>0</v>
          </cell>
        </row>
        <row r="2498">
          <cell r="A2498" t="str">
            <v>RND_MDP112_023</v>
          </cell>
          <cell r="B2498" t="str">
            <v>RES 10K OHM 1% 1/10W 0603</v>
          </cell>
          <cell r="E2498">
            <v>0.39</v>
          </cell>
          <cell r="G2498">
            <v>0</v>
          </cell>
        </row>
        <row r="2499">
          <cell r="A2499" t="str">
            <v>RND_MDP112_024</v>
          </cell>
          <cell r="B2499" t="str">
            <v>RES 1K OHM 1% 1/10W 0603</v>
          </cell>
          <cell r="E2499">
            <v>2.16</v>
          </cell>
          <cell r="G2499">
            <v>0</v>
          </cell>
        </row>
        <row r="2500">
          <cell r="A2500" t="str">
            <v>RND_MDP112_025</v>
          </cell>
          <cell r="B2500" t="str">
            <v>RES 2.4K OHM 1% 1/10W 0603</v>
          </cell>
          <cell r="E2500">
            <v>2.16</v>
          </cell>
          <cell r="G2500">
            <v>0</v>
          </cell>
        </row>
        <row r="2501">
          <cell r="A2501" t="str">
            <v>RND_MDP112_026</v>
          </cell>
          <cell r="B2501" t="str">
            <v>RES 220 OHM 1% 2W 2512</v>
          </cell>
          <cell r="E2501">
            <v>12.1</v>
          </cell>
          <cell r="G2501">
            <v>0</v>
          </cell>
        </row>
        <row r="2502">
          <cell r="A2502" t="str">
            <v>RND_MDP112_027</v>
          </cell>
          <cell r="B2502" t="str">
            <v>250 FASTON PCB TAB TPBR</v>
          </cell>
          <cell r="E2502">
            <v>1.62</v>
          </cell>
          <cell r="G2502">
            <v>0</v>
          </cell>
        </row>
        <row r="2503">
          <cell r="A2503" t="str">
            <v>RND_MDP112_028</v>
          </cell>
          <cell r="B2503" t="str">
            <v>SSR RELAY SPST-NO 100MA 0-60V</v>
          </cell>
          <cell r="E2503">
            <v>23.53</v>
          </cell>
          <cell r="G2503">
            <v>0</v>
          </cell>
        </row>
        <row r="2504">
          <cell r="A2504" t="str">
            <v>RND_MDP112_029</v>
          </cell>
          <cell r="B2504" t="str">
            <v>IC REG LINEAR 5V 100MA SOT89-3</v>
          </cell>
          <cell r="E2504">
            <v>9.08</v>
          </cell>
          <cell r="G2504">
            <v>0</v>
          </cell>
        </row>
        <row r="2505">
          <cell r="A2505" t="str">
            <v>RND_MDP112_030</v>
          </cell>
          <cell r="B2505" t="str">
            <v>IC MCU 8BIT 2KB FLASH 8SOIC</v>
          </cell>
          <cell r="E2505">
            <v>11.45</v>
          </cell>
          <cell r="G2505">
            <v>0</v>
          </cell>
        </row>
        <row r="2506">
          <cell r="A2506" t="str">
            <v>RND_MDP112_031</v>
          </cell>
          <cell r="B2506" t="str">
            <v>OPTOISOLATOR 5KV TRIAC 6SMD</v>
          </cell>
          <cell r="E2506">
            <v>15.56</v>
          </cell>
          <cell r="G2506">
            <v>0</v>
          </cell>
        </row>
        <row r="2507">
          <cell r="A2507" t="str">
            <v>RND_MDP112_032</v>
          </cell>
          <cell r="B2507" t="str">
            <v>OPTOISOLATR 5KV TRANSISTOR 4-SMD</v>
          </cell>
          <cell r="E2507">
            <v>3.24</v>
          </cell>
          <cell r="G2507">
            <v>0</v>
          </cell>
        </row>
        <row r="2508">
          <cell r="A2508" t="str">
            <v>RND_MDPCC_23072001</v>
          </cell>
          <cell r="B2508" t="str">
            <v>Fibre Tape</v>
          </cell>
          <cell r="E2508">
            <v>30</v>
          </cell>
          <cell r="G2508">
            <v>0</v>
          </cell>
        </row>
        <row r="2509">
          <cell r="A2509" t="str">
            <v>RND-0039014030</v>
          </cell>
          <cell r="B2509" t="str">
            <v>CONN RECEPT 3POS VERT SINGLE WM18434-ND</v>
          </cell>
          <cell r="E2509">
            <v>8.0299999999999994</v>
          </cell>
          <cell r="G2509">
            <v>0</v>
          </cell>
        </row>
        <row r="2510">
          <cell r="A2510" t="str">
            <v>RND-005606</v>
          </cell>
          <cell r="B2510" t="str">
            <v>0.5mm2 WHT INS FERRULE</v>
          </cell>
          <cell r="E2510">
            <v>12.36</v>
          </cell>
          <cell r="G2510">
            <v>0</v>
          </cell>
        </row>
        <row r="2511">
          <cell r="A2511" t="str">
            <v>RND-005718</v>
          </cell>
          <cell r="B2511" t="str">
            <v xml:space="preserve">1mm2 RED INS FERRULE </v>
          </cell>
          <cell r="E2511">
            <v>0.1188</v>
          </cell>
          <cell r="G2511">
            <v>0</v>
          </cell>
        </row>
        <row r="2512">
          <cell r="A2512" t="str">
            <v>RND-005765</v>
          </cell>
          <cell r="B2512" t="str">
            <v xml:space="preserve">1.5mm2 BLK INS FERRULE </v>
          </cell>
          <cell r="E2512">
            <v>0.11990000000000001</v>
          </cell>
          <cell r="G2512">
            <v>0</v>
          </cell>
        </row>
        <row r="2513">
          <cell r="A2513" t="str">
            <v>RND-005808</v>
          </cell>
          <cell r="B2513" t="str">
            <v>2.5mm2 GRY INS FERRULE</v>
          </cell>
          <cell r="E2513">
            <v>0.17050000000000001</v>
          </cell>
          <cell r="G2513">
            <v>0</v>
          </cell>
        </row>
        <row r="2514">
          <cell r="A2514" t="str">
            <v>RND-005871</v>
          </cell>
          <cell r="B2514" t="str">
            <v xml:space="preserve">6mm2 GRN INS FERRULE </v>
          </cell>
          <cell r="E2514">
            <v>0.34649999999999997</v>
          </cell>
          <cell r="G2514">
            <v>0</v>
          </cell>
        </row>
        <row r="2515">
          <cell r="A2515" t="str">
            <v>RND-005896</v>
          </cell>
          <cell r="B2515" t="str">
            <v>10mm2 BRN INS FERRULE</v>
          </cell>
          <cell r="E2515">
            <v>148.30000000000001</v>
          </cell>
          <cell r="G2515">
            <v>0</v>
          </cell>
        </row>
        <row r="2516">
          <cell r="A2516" t="str">
            <v>RND-006053</v>
          </cell>
          <cell r="B2516" t="str">
            <v>4MM2 UN-INSULATED FERRULE</v>
          </cell>
          <cell r="E2516">
            <v>215.4</v>
          </cell>
          <cell r="G2516">
            <v>0</v>
          </cell>
        </row>
        <row r="2517">
          <cell r="A2517" t="str">
            <v>RND-0271113IPEX100</v>
          </cell>
          <cell r="B2517" t="str">
            <v>CABLE/ASSEMBLY/RF/IPEXMA/100MM</v>
          </cell>
          <cell r="E2517">
            <v>25</v>
          </cell>
          <cell r="G2517">
            <v>0</v>
          </cell>
        </row>
        <row r="2518">
          <cell r="A2518" t="str">
            <v>RND-04025A101FAT2A</v>
          </cell>
          <cell r="B2518" t="str">
            <v>CAP CER 100PF 50V C0G/NP0 0402 478-3658-6-ND</v>
          </cell>
          <cell r="E2518">
            <v>2.62</v>
          </cell>
          <cell r="G2518">
            <v>0</v>
          </cell>
        </row>
        <row r="2519">
          <cell r="A2519" t="str">
            <v>RND-0472192001</v>
          </cell>
          <cell r="B2519" t="str">
            <v>CONN MICRO SD CARD HINGED TYPE</v>
          </cell>
          <cell r="E2519">
            <v>32.100909999999999</v>
          </cell>
          <cell r="G2519">
            <v>0</v>
          </cell>
        </row>
        <row r="2520">
          <cell r="A2520" t="str">
            <v>RND-06031A220JAT2A</v>
          </cell>
          <cell r="B2520" t="str">
            <v>CAP CER 22PF 100V C0G/NP0 0603 478-1142-1-ND</v>
          </cell>
          <cell r="E2520">
            <v>0.98</v>
          </cell>
          <cell r="G2520">
            <v>0</v>
          </cell>
        </row>
        <row r="2521">
          <cell r="A2521" t="str">
            <v>RND-07.313.4155.0</v>
          </cell>
          <cell r="B2521" t="str">
            <v>TERMINAL END PLATE WTP6/10</v>
          </cell>
          <cell r="E2521">
            <v>6.24</v>
          </cell>
          <cell r="G2521">
            <v>0</v>
          </cell>
        </row>
        <row r="2522">
          <cell r="A2522" t="str">
            <v>RND-08051A330JAT2A</v>
          </cell>
          <cell r="B2522" t="str">
            <v>CAP CER 33PF 100V C0G/NP0 0805 478-1281-1-ND</v>
          </cell>
          <cell r="E2522">
            <v>2.0699999999999998</v>
          </cell>
          <cell r="G2522">
            <v>0</v>
          </cell>
        </row>
        <row r="2523">
          <cell r="A2523" t="str">
            <v>RND-100W50-2E2-J</v>
          </cell>
          <cell r="B2523" t="str">
            <v>RESISTOR 100W S;I WW 5% 50W-5 2E2</v>
          </cell>
          <cell r="E2523">
            <v>45</v>
          </cell>
          <cell r="G2523">
            <v>0</v>
          </cell>
        </row>
        <row r="2524">
          <cell r="A2524" t="str">
            <v>RND-100W-SOLAR-PANEL</v>
          </cell>
          <cell r="B2524" t="str">
            <v>100W SOLAR PANEL</v>
          </cell>
          <cell r="E2524">
            <v>1968.57</v>
          </cell>
          <cell r="G2524">
            <v>0</v>
          </cell>
        </row>
        <row r="2525">
          <cell r="A2525" t="str">
            <v>RND-10118194-0001LF</v>
          </cell>
          <cell r="B2525" t="str">
            <v>CONN USB MICRO B RECPT SMT R/A 609-4618-1-ND</v>
          </cell>
          <cell r="E2525">
            <v>9.8149999999999995</v>
          </cell>
          <cell r="G2525">
            <v>0</v>
          </cell>
        </row>
        <row r="2526">
          <cell r="A2526" t="str">
            <v>RND-10132797-025100L</v>
          </cell>
          <cell r="B2526" t="str">
            <v>CONN PLUG 20POS SMD GOLD</v>
          </cell>
          <cell r="E2526">
            <v>17.79</v>
          </cell>
          <cell r="G2526">
            <v>0</v>
          </cell>
        </row>
        <row r="2527">
          <cell r="A2527" t="str">
            <v>RND-10132798-022100L</v>
          </cell>
          <cell r="B2527" t="str">
            <v>CONN RCPT 20POS SMD GOLD 609-5029-1-ND</v>
          </cell>
          <cell r="E2527">
            <v>20.57</v>
          </cell>
          <cell r="G2527">
            <v>0</v>
          </cell>
        </row>
        <row r="2528">
          <cell r="A2528" t="str">
            <v>RND-10160</v>
          </cell>
          <cell r="B2528" t="str">
            <v>4-16mm dia CABLE KNIFE/STRIPPER</v>
          </cell>
          <cell r="E2528">
            <v>290.55</v>
          </cell>
          <cell r="G2528">
            <v>0</v>
          </cell>
        </row>
        <row r="2529">
          <cell r="A2529" t="str">
            <v>RND-1043</v>
          </cell>
          <cell r="B2529" t="str">
            <v>BATTERY HOLDER 18650 PC PIN 36-1043-ND</v>
          </cell>
          <cell r="E2529">
            <v>78.180000000000007</v>
          </cell>
          <cell r="G2529">
            <v>0</v>
          </cell>
        </row>
        <row r="2530">
          <cell r="A2530" t="str">
            <v>RND-10X3HO7TR-CABLE</v>
          </cell>
          <cell r="B2530" t="str">
            <v>10MM2 X 3 CORE HO7 RN-F RUBBER TRAILING CABLE</v>
          </cell>
          <cell r="E2530">
            <v>94</v>
          </cell>
          <cell r="G2530">
            <v>0</v>
          </cell>
        </row>
        <row r="2531">
          <cell r="A2531" t="str">
            <v>RND-1-1123722-2</v>
          </cell>
          <cell r="B2531" t="str">
            <v>CONN PLUG HSG 2POS 3.96MM A30501-ND</v>
          </cell>
          <cell r="E2531">
            <v>3.2420499999999999</v>
          </cell>
          <cell r="G2531">
            <v>0</v>
          </cell>
        </row>
        <row r="2532">
          <cell r="A2532" t="str">
            <v>RND-1-1123723-2</v>
          </cell>
          <cell r="B2532" t="str">
            <v>CONN HEADER VERT 2POS 3.96MM A111830-ND</v>
          </cell>
          <cell r="E2532">
            <v>5.2997699999999996</v>
          </cell>
          <cell r="G2532">
            <v>0</v>
          </cell>
        </row>
        <row r="2533">
          <cell r="A2533" t="str">
            <v>RND-1200W-992W-PSTAT</v>
          </cell>
          <cell r="B2533" t="str">
            <v>1200W 992WH POWER STATION</v>
          </cell>
          <cell r="E2533">
            <v>8649.6849999999995</v>
          </cell>
          <cell r="G2533">
            <v>0</v>
          </cell>
        </row>
        <row r="2534">
          <cell r="A2534" t="str">
            <v>RND-152660537</v>
          </cell>
          <cell r="B2534" t="str">
            <v>CABLE FFC 50POS 0.50MM 2 WM11533-ND</v>
          </cell>
          <cell r="E2534">
            <v>46.19</v>
          </cell>
          <cell r="G2534">
            <v>0</v>
          </cell>
        </row>
        <row r="2535">
          <cell r="A2535" t="str">
            <v>RND-15C7002</v>
          </cell>
          <cell r="B2535" t="str">
            <v>TX 1 BUTTON LEARNING 433MHZ/434MHZ REMOTE</v>
          </cell>
          <cell r="E2535">
            <v>0</v>
          </cell>
          <cell r="G2535">
            <v>0</v>
          </cell>
        </row>
        <row r="2536">
          <cell r="A2536" t="str">
            <v>RND-15C8782</v>
          </cell>
          <cell r="B2536" t="str">
            <v>MEMORY 16GB FLASH DRIVE STICK</v>
          </cell>
          <cell r="E2536">
            <v>127</v>
          </cell>
          <cell r="G2536">
            <v>0</v>
          </cell>
        </row>
        <row r="2537">
          <cell r="A2537" t="str">
            <v>RND-1800W-1488WH-PST</v>
          </cell>
          <cell r="B2537" t="str">
            <v>1800W 1488WH POWER STATION</v>
          </cell>
          <cell r="E2537">
            <v>11135.15</v>
          </cell>
          <cell r="G2537">
            <v>0</v>
          </cell>
        </row>
        <row r="2538">
          <cell r="A2538" t="str">
            <v>RND-1800W-BAG</v>
          </cell>
          <cell r="B2538" t="str">
            <v>1800W CARRY BAG</v>
          </cell>
          <cell r="E2538">
            <v>497.03500000000003</v>
          </cell>
          <cell r="G2538">
            <v>0</v>
          </cell>
        </row>
        <row r="2539">
          <cell r="A2539" t="str">
            <v>RND-1909763-1</v>
          </cell>
          <cell r="B2539" t="str">
            <v>CONN UMCC JACK STR 50OHM SMD A118077CT-ND</v>
          </cell>
          <cell r="E2539">
            <v>9.93</v>
          </cell>
          <cell r="G2539">
            <v>0</v>
          </cell>
        </row>
        <row r="2540">
          <cell r="A2540" t="str">
            <v>RND-192020013</v>
          </cell>
          <cell r="B2540" t="str">
            <v>CONN SPLICE 18-22 AWG CRIMP WM18731-ND</v>
          </cell>
          <cell r="E2540">
            <v>6.39</v>
          </cell>
          <cell r="G2540">
            <v>0</v>
          </cell>
        </row>
        <row r="2541">
          <cell r="A2541" t="str">
            <v>RND-1965-ESP32-C3</v>
          </cell>
          <cell r="B2541" t="str">
            <v>1965 ESP32-C3-DEVKITM-1-ND</v>
          </cell>
          <cell r="E2541">
            <v>0</v>
          </cell>
          <cell r="G2541">
            <v>0</v>
          </cell>
        </row>
        <row r="2542">
          <cell r="A2542" t="str">
            <v>RND-1MR25154</v>
          </cell>
          <cell r="B2542" t="str">
            <v>15W 4P DISTRIBUTION BLOCK 125A</v>
          </cell>
          <cell r="E2542">
            <v>264</v>
          </cell>
          <cell r="G2542">
            <v>0</v>
          </cell>
        </row>
        <row r="2543">
          <cell r="A2543" t="str">
            <v>RND-20050</v>
          </cell>
          <cell r="B2543" t="str">
            <v>SUPER4 0.2 - 6.0 mm2 WIRE STRIPPER</v>
          </cell>
          <cell r="E2543">
            <v>235.3</v>
          </cell>
          <cell r="G2543">
            <v>0</v>
          </cell>
        </row>
        <row r="2544">
          <cell r="A2544" t="str">
            <v>RND-220W-SOLAR-PANEL</v>
          </cell>
          <cell r="B2544" t="str">
            <v>220W SOLAR PANEL</v>
          </cell>
          <cell r="E2544">
            <v>3937.01</v>
          </cell>
          <cell r="G2544">
            <v>0</v>
          </cell>
        </row>
        <row r="2545">
          <cell r="A2545" t="str">
            <v>RND-227613</v>
          </cell>
          <cell r="B2545" t="str">
            <v>2 POLE 25A I-O-II C/O CAM SWITCH</v>
          </cell>
          <cell r="E2545">
            <v>394.2</v>
          </cell>
          <cell r="G2545">
            <v>0</v>
          </cell>
        </row>
        <row r="2546">
          <cell r="A2546" t="str">
            <v>RND-2400W-2322WH-PST</v>
          </cell>
          <cell r="B2546" t="str">
            <v>2400W 2322WH POWER STATION</v>
          </cell>
          <cell r="E2546">
            <v>17597.599999999999</v>
          </cell>
          <cell r="G2546">
            <v>0</v>
          </cell>
        </row>
        <row r="2547">
          <cell r="A2547" t="str">
            <v>RND-2400W-TROLLEY</v>
          </cell>
          <cell r="B2547" t="str">
            <v>2400W TROLLEY</v>
          </cell>
          <cell r="E2547">
            <v>795.39499999999998</v>
          </cell>
          <cell r="G2547">
            <v>0</v>
          </cell>
        </row>
        <row r="2548">
          <cell r="A2548" t="str">
            <v>RND-2600W-3072WH-PST</v>
          </cell>
          <cell r="B2548" t="str">
            <v>3600W 3072WH POWER STATION</v>
          </cell>
          <cell r="E2548">
            <v>31496.720000000001</v>
          </cell>
          <cell r="G2548">
            <v>0</v>
          </cell>
        </row>
        <row r="2549">
          <cell r="A2549" t="str">
            <v>RND-2822541-1</v>
          </cell>
          <cell r="B2549" t="str">
            <v>PUSH-PUSH MICRO SIM CONNECTOR A141365CT-ND</v>
          </cell>
          <cell r="E2549">
            <v>29.72</v>
          </cell>
          <cell r="G2549">
            <v>0</v>
          </cell>
        </row>
        <row r="2550">
          <cell r="A2550" t="str">
            <v>RND-2K-CHASSIS-STAND</v>
          </cell>
          <cell r="B2550" t="str">
            <v>2K CHASSIS STAND</v>
          </cell>
          <cell r="E2550">
            <v>1830</v>
          </cell>
          <cell r="G2550">
            <v>0</v>
          </cell>
        </row>
        <row r="2551">
          <cell r="A2551" t="str">
            <v>RND-30-01753</v>
          </cell>
          <cell r="B2551" t="str">
            <v>HOOK-UP STRND 22AWG BLACK 16.4</v>
          </cell>
          <cell r="E2551">
            <v>125.65167</v>
          </cell>
          <cell r="G2551">
            <v>0</v>
          </cell>
        </row>
        <row r="2552">
          <cell r="A2552" t="str">
            <v>RND-3220-10-0300-00</v>
          </cell>
          <cell r="B2552" t="str">
            <v>CONN HEADER SMD 10POS 1.27MM</v>
          </cell>
          <cell r="E2552">
            <v>17.829999999999998</v>
          </cell>
          <cell r="G2552">
            <v>0</v>
          </cell>
        </row>
        <row r="2553">
          <cell r="A2553" t="str">
            <v>RND-356-ESP32-C3DEVK</v>
          </cell>
          <cell r="B2553" t="str">
            <v>356 ESP32 -C3DEVKITM1</v>
          </cell>
          <cell r="E2553">
            <v>218.42</v>
          </cell>
          <cell r="G2553">
            <v>0</v>
          </cell>
        </row>
        <row r="2554">
          <cell r="A2554" t="str">
            <v>RND-39303037</v>
          </cell>
          <cell r="B2554" t="str">
            <v>CONN HEADER R/A 3POS 4.2MM WM23935-ND</v>
          </cell>
          <cell r="E2554">
            <v>24.46</v>
          </cell>
          <cell r="G2554">
            <v>0</v>
          </cell>
        </row>
        <row r="2555">
          <cell r="A2555" t="str">
            <v>RND-400W-ROUTER</v>
          </cell>
          <cell r="B2555" t="str">
            <v>MAC-AFRIC 400W TRIMMER ROUTER</v>
          </cell>
          <cell r="E2555">
            <v>691.31</v>
          </cell>
          <cell r="G2555">
            <v>0</v>
          </cell>
        </row>
        <row r="2556">
          <cell r="A2556" t="str">
            <v>RND-5000W-5040WH-PST</v>
          </cell>
          <cell r="B2556" t="str">
            <v>5000W 5040WH POWER STATION</v>
          </cell>
          <cell r="E2556">
            <v>45336.28</v>
          </cell>
          <cell r="G2556">
            <v>0</v>
          </cell>
        </row>
        <row r="2557">
          <cell r="A2557" t="str">
            <v>RND-5019515000</v>
          </cell>
          <cell r="B2557" t="str">
            <v>CONN FFC VERT 50POS 0.50MM SMD WM6652CT-ND</v>
          </cell>
          <cell r="E2557">
            <v>42.213180000000001</v>
          </cell>
          <cell r="G2557">
            <v>0</v>
          </cell>
        </row>
        <row r="2558">
          <cell r="A2558" t="str">
            <v>RND-5040WH-BATTERY</v>
          </cell>
          <cell r="B2558" t="str">
            <v>5040WH EXTRA BATTERY</v>
          </cell>
          <cell r="E2558">
            <v>35433.864999999998</v>
          </cell>
          <cell r="G2558">
            <v>0</v>
          </cell>
        </row>
        <row r="2559">
          <cell r="A2559" t="str">
            <v>RND-56.206.0055.0</v>
          </cell>
          <cell r="B2559" t="str">
            <v>6/10mm2 RAIL MOUNT "PUSH-IN" TERM</v>
          </cell>
          <cell r="E2559">
            <v>14.42</v>
          </cell>
          <cell r="G2559">
            <v>0</v>
          </cell>
        </row>
        <row r="2560">
          <cell r="A2560" t="str">
            <v>RND-600W-1200W-BAG</v>
          </cell>
          <cell r="B2560" t="str">
            <v>600W/1200W CARRY BAG</v>
          </cell>
          <cell r="E2560">
            <v>497.17500000000001</v>
          </cell>
          <cell r="G2560">
            <v>0</v>
          </cell>
        </row>
        <row r="2561">
          <cell r="A2561" t="str">
            <v>RND-600W-595WH-PSTAT</v>
          </cell>
          <cell r="B2561" t="str">
            <v>600W 595WH POWER STATION</v>
          </cell>
          <cell r="E2561">
            <v>5368.83</v>
          </cell>
          <cell r="G2561">
            <v>0</v>
          </cell>
        </row>
        <row r="2562">
          <cell r="A2562" t="str">
            <v>RND-678038020</v>
          </cell>
          <cell r="B2562" t="str">
            <v>CONN RECEPT USB 5POS RT ANG</v>
          </cell>
          <cell r="E2562">
            <v>60.08</v>
          </cell>
          <cell r="G2562">
            <v>0</v>
          </cell>
        </row>
        <row r="2563">
          <cell r="A2563" t="str">
            <v>RND-885012205061</v>
          </cell>
          <cell r="B2563" t="str">
            <v>CAP CER 1000PF 50V X7R 0402 732-7556-1-ND</v>
          </cell>
          <cell r="E2563">
            <v>0.22398000000000001</v>
          </cell>
          <cell r="G2563">
            <v>0</v>
          </cell>
        </row>
        <row r="2564">
          <cell r="A2564" t="str">
            <v>RND-A14-M8</v>
          </cell>
          <cell r="B2564" t="str">
            <v>70x8mm HEAVY DUTY CRIMP LUG</v>
          </cell>
          <cell r="E2564">
            <v>11.516999999999999</v>
          </cell>
          <cell r="G2564">
            <v>0</v>
          </cell>
        </row>
        <row r="2565">
          <cell r="A2565" t="str">
            <v>RND-A1-M5</v>
          </cell>
          <cell r="B2565" t="str">
            <v>4-6x5mm HEAVY DUTY CRIMP LUG(</v>
          </cell>
          <cell r="E2565">
            <v>3.1185</v>
          </cell>
          <cell r="G2565">
            <v>0</v>
          </cell>
        </row>
        <row r="2566">
          <cell r="A2566" t="str">
            <v>RND-A7E7</v>
          </cell>
          <cell r="B2566" t="str">
            <v>7 INCH MONITOR</v>
          </cell>
          <cell r="E2566">
            <v>7310.65</v>
          </cell>
          <cell r="G2566">
            <v>2</v>
          </cell>
        </row>
        <row r="2567">
          <cell r="A2567" t="str">
            <v>RND-ADTSM31NV</v>
          </cell>
          <cell r="B2567" t="str">
            <v>SWITCH TACTILE SPST-NO 0.05A</v>
          </cell>
          <cell r="E2567">
            <v>11.31</v>
          </cell>
          <cell r="G2567">
            <v>0</v>
          </cell>
        </row>
        <row r="2568">
          <cell r="A2568" t="str">
            <v>RND-AKIRA-ENCL-V2</v>
          </cell>
          <cell r="B2568" t="str">
            <v>AKIRA ENCLOSURE V2</v>
          </cell>
          <cell r="E2568">
            <v>1914.75</v>
          </cell>
          <cell r="G2568">
            <v>0</v>
          </cell>
        </row>
        <row r="2569">
          <cell r="A2569" t="str">
            <v>RND-AKIRA-GLAND-PL-2</v>
          </cell>
          <cell r="B2569" t="str">
            <v>AKIRA GLAND PLATE V2</v>
          </cell>
          <cell r="E2569">
            <v>135.69999999999999</v>
          </cell>
          <cell r="G2569">
            <v>0</v>
          </cell>
        </row>
        <row r="2570">
          <cell r="A2570" t="str">
            <v>RND-AP7215-33YG-13</v>
          </cell>
          <cell r="B2570" t="str">
            <v>IC REG LINEAR 3.3V 600MA SOT89</v>
          </cell>
          <cell r="E2570">
            <v>11.32</v>
          </cell>
          <cell r="G2570">
            <v>0</v>
          </cell>
        </row>
        <row r="2571">
          <cell r="A2571" t="str">
            <v>RND-AP7387-50W5-7</v>
          </cell>
          <cell r="B2571" t="str">
            <v>LDO CMOS LOWCURR SOT25 T&amp;R</v>
          </cell>
          <cell r="E2571">
            <v>17.079999999999998</v>
          </cell>
          <cell r="G2571">
            <v>0</v>
          </cell>
        </row>
        <row r="2572">
          <cell r="A2572" t="str">
            <v>RND-AQY282EHA</v>
          </cell>
          <cell r="B2572" t="str">
            <v>SSR RELAY SPST-NO 500MA 0-60V</v>
          </cell>
          <cell r="E2572">
            <v>30.82</v>
          </cell>
          <cell r="G2572">
            <v>0</v>
          </cell>
        </row>
        <row r="2573">
          <cell r="A2573" t="str">
            <v>RND-ATTINY406-MFR</v>
          </cell>
          <cell r="B2573" t="str">
            <v>IC MCU 8BIT 4KB FLASH 20VQFN</v>
          </cell>
          <cell r="E2573">
            <v>19</v>
          </cell>
          <cell r="G2573">
            <v>0</v>
          </cell>
        </row>
        <row r="2574">
          <cell r="A2574" t="str">
            <v>RND-AZ1117CH-3.3TRG1</v>
          </cell>
          <cell r="B2574" t="str">
            <v>IC REG LINEAR 3.3V 1A SOT223</v>
          </cell>
          <cell r="E2574">
            <v>9.4700000000000006</v>
          </cell>
          <cell r="G2574">
            <v>0</v>
          </cell>
        </row>
        <row r="2575">
          <cell r="A2575" t="str">
            <v>RND-BACE-ENCL-V3</v>
          </cell>
          <cell r="B2575" t="str">
            <v>BASE ENCLOSURE V3</v>
          </cell>
          <cell r="E2575">
            <v>625.75</v>
          </cell>
          <cell r="G2575">
            <v>0</v>
          </cell>
        </row>
        <row r="2576">
          <cell r="A2576" t="str">
            <v>RND-BAMS</v>
          </cell>
          <cell r="B2576" t="str">
            <v>MANAGEMENT SYSTEM HOST (BAMS)</v>
          </cell>
          <cell r="E2576">
            <v>10018.4</v>
          </cell>
          <cell r="G2576">
            <v>0</v>
          </cell>
        </row>
        <row r="2577">
          <cell r="A2577" t="str">
            <v>RND-BASE-CLEAR-SPACE</v>
          </cell>
          <cell r="B2577" t="str">
            <v>BASE CLEAT V2 SPACER</v>
          </cell>
          <cell r="E2577">
            <v>21.23</v>
          </cell>
          <cell r="G2577">
            <v>0</v>
          </cell>
        </row>
        <row r="2578">
          <cell r="A2578" t="str">
            <v>RND-BASE-CLEAT-HOOK</v>
          </cell>
          <cell r="B2578" t="str">
            <v>BASE CLEAT V2 HOOK</v>
          </cell>
          <cell r="E2578">
            <v>22.8</v>
          </cell>
          <cell r="G2578">
            <v>0</v>
          </cell>
        </row>
        <row r="2579">
          <cell r="A2579" t="str">
            <v>RND-BAT46W-7-F</v>
          </cell>
          <cell r="B2579" t="str">
            <v>DIODE SCHOTTKY 100V 150MA SOD123</v>
          </cell>
          <cell r="E2579">
            <v>10.32</v>
          </cell>
          <cell r="G2579">
            <v>0</v>
          </cell>
        </row>
        <row r="2580">
          <cell r="A2580" t="str">
            <v>RND-BAT-CHARGE-20A</v>
          </cell>
          <cell r="B2580" t="str">
            <v>12V 20A Lifepo4 battery chargers</v>
          </cell>
          <cell r="E2580">
            <v>1514.68</v>
          </cell>
          <cell r="G2580">
            <v>0</v>
          </cell>
        </row>
        <row r="2581">
          <cell r="A2581" t="str">
            <v>RND-BAT-CHARGE-30A</v>
          </cell>
          <cell r="B2581" t="str">
            <v>12V 30A Lifepo4 battery chargers</v>
          </cell>
          <cell r="E2581">
            <v>3267.17</v>
          </cell>
          <cell r="G2581">
            <v>0</v>
          </cell>
        </row>
        <row r="2582">
          <cell r="A2582" t="str">
            <v>RND-BAT-CHARGER-25A</v>
          </cell>
          <cell r="B2582" t="str">
            <v>12V 25A Lifepo4 battery chargers</v>
          </cell>
          <cell r="E2582">
            <v>2138.2800000000002</v>
          </cell>
          <cell r="G2582">
            <v>0</v>
          </cell>
        </row>
        <row r="2583">
          <cell r="A2583" t="str">
            <v>RND-BAT-CLEAT</v>
          </cell>
          <cell r="B2583" t="str">
            <v>BATTERY CLEAT V3</v>
          </cell>
          <cell r="E2583">
            <v>21.15</v>
          </cell>
          <cell r="G2583">
            <v>0</v>
          </cell>
        </row>
        <row r="2584">
          <cell r="A2584" t="str">
            <v>RND-BAT-CLEAT-HOOK</v>
          </cell>
          <cell r="B2584" t="str">
            <v>BATTERY CLEAT V2 HOOK</v>
          </cell>
          <cell r="E2584">
            <v>22.8</v>
          </cell>
          <cell r="G2584">
            <v>0</v>
          </cell>
        </row>
        <row r="2585">
          <cell r="A2585" t="str">
            <v>RND-BAT-CLEAT-SPACER</v>
          </cell>
          <cell r="B2585" t="str">
            <v>BATTERY CLEAT V2 SPACER</v>
          </cell>
          <cell r="E2585">
            <v>25.8</v>
          </cell>
          <cell r="G2585">
            <v>0</v>
          </cell>
        </row>
        <row r="2586">
          <cell r="A2586" t="str">
            <v>RND-BAT-CLEAT-V4</v>
          </cell>
          <cell r="B2586" t="str">
            <v>BATTERY CLEAT V4</v>
          </cell>
          <cell r="E2586">
            <v>27</v>
          </cell>
          <cell r="G2586">
            <v>0</v>
          </cell>
        </row>
        <row r="2587">
          <cell r="A2587" t="str">
            <v>RND-BAT-ENCLOSURE</v>
          </cell>
          <cell r="B2587" t="str">
            <v>BATTERY ENCLOSURE</v>
          </cell>
          <cell r="E2587">
            <v>479.59</v>
          </cell>
          <cell r="G2587">
            <v>0</v>
          </cell>
        </row>
        <row r="2588">
          <cell r="A2588" t="str">
            <v>RND-BAT-FACEPLATE</v>
          </cell>
          <cell r="B2588" t="str">
            <v>BATTERY FACEPLATE</v>
          </cell>
          <cell r="E2588">
            <v>67.39</v>
          </cell>
          <cell r="G2588">
            <v>0</v>
          </cell>
        </row>
        <row r="2589">
          <cell r="A2589" t="str">
            <v>RND-BAT-FAST-ANGLE</v>
          </cell>
          <cell r="B2589" t="str">
            <v>BATTERY FASTENING ANGLE</v>
          </cell>
          <cell r="E2589">
            <v>27.52</v>
          </cell>
          <cell r="G2589">
            <v>0</v>
          </cell>
        </row>
        <row r="2590">
          <cell r="A2590" t="str">
            <v>RND-BAT-FAST-PLATE</v>
          </cell>
          <cell r="B2590" t="str">
            <v>BATTERY FASTENING PLATE</v>
          </cell>
          <cell r="E2590">
            <v>23.65</v>
          </cell>
          <cell r="G2590">
            <v>0</v>
          </cell>
        </row>
        <row r="2591">
          <cell r="A2591" t="str">
            <v>RND-BAT-LID</v>
          </cell>
          <cell r="B2591" t="str">
            <v>BATTERY LID</v>
          </cell>
          <cell r="E2591">
            <v>202.55</v>
          </cell>
          <cell r="G2591">
            <v>0</v>
          </cell>
        </row>
        <row r="2592">
          <cell r="A2592" t="str">
            <v>RND-BAT-MID-PLANE</v>
          </cell>
          <cell r="B2592" t="str">
            <v>BATTERY MID PLANE</v>
          </cell>
          <cell r="E2592">
            <v>63.35</v>
          </cell>
          <cell r="G2592">
            <v>0</v>
          </cell>
        </row>
        <row r="2593">
          <cell r="A2593" t="str">
            <v>RND-BB1V</v>
          </cell>
          <cell r="B2593" t="str">
            <v>.5-1.5mm2 RED INS FERRULE</v>
          </cell>
          <cell r="E2593">
            <v>0.41799999999999998</v>
          </cell>
          <cell r="G2593">
            <v>0</v>
          </cell>
        </row>
        <row r="2594">
          <cell r="A2594" t="str">
            <v>RND-BB5V</v>
          </cell>
          <cell r="B2594" t="str">
            <v>4-6mm2 YEL INS FERRULE</v>
          </cell>
          <cell r="E2594">
            <v>0.84150000000000003</v>
          </cell>
          <cell r="G2594">
            <v>0</v>
          </cell>
        </row>
        <row r="2595">
          <cell r="A2595" t="str">
            <v>RND-BC817-40,235</v>
          </cell>
          <cell r="B2595" t="str">
            <v>TRANS NPN 45V 0.5A SOT23</v>
          </cell>
          <cell r="E2595">
            <v>3.6</v>
          </cell>
          <cell r="G2595">
            <v>0</v>
          </cell>
        </row>
        <row r="2596">
          <cell r="A2596" t="str">
            <v>RND-BCMU</v>
          </cell>
          <cell r="B2596" t="str">
            <v>MASTER CONTROL MODULE</v>
          </cell>
          <cell r="E2596">
            <v>4293.6000000000004</v>
          </cell>
          <cell r="G2596">
            <v>0</v>
          </cell>
        </row>
        <row r="2597">
          <cell r="A2597" t="str">
            <v>RND-BENCH-GRINDER-6I</v>
          </cell>
          <cell r="B2597" t="str">
            <v>6 INCH (150MM) LIGHT DUTY BENCH GRINDER</v>
          </cell>
          <cell r="E2597">
            <v>691.31</v>
          </cell>
          <cell r="G2597">
            <v>0</v>
          </cell>
        </row>
        <row r="2598">
          <cell r="A2598" t="str">
            <v>RND-BH003-01</v>
          </cell>
          <cell r="B2598" t="str">
            <v>41-1001276_iss1.0_Controller Enclosure Type A Base Panel</v>
          </cell>
          <cell r="E2598">
            <v>341.3</v>
          </cell>
          <cell r="G2598">
            <v>0</v>
          </cell>
        </row>
        <row r="2599">
          <cell r="A2599" t="str">
            <v>RND-BH003-02</v>
          </cell>
          <cell r="B2599" t="str">
            <v>41-1001278_iss1.0_Controller Enclosure Type A Front Face</v>
          </cell>
          <cell r="E2599">
            <v>68.48</v>
          </cell>
          <cell r="G2599">
            <v>0</v>
          </cell>
        </row>
        <row r="2600">
          <cell r="A2600" t="str">
            <v>RND-BH003-03</v>
          </cell>
          <cell r="B2600" t="str">
            <v>41-1001603_iss1.0_Controller Enclosure Type A Mounting Bracket</v>
          </cell>
          <cell r="E2600">
            <v>9.42</v>
          </cell>
          <cell r="G2600">
            <v>0</v>
          </cell>
        </row>
        <row r="2601">
          <cell r="A2601" t="str">
            <v>RND-BH003-04</v>
          </cell>
          <cell r="B2601" t="str">
            <v>41-1001707_iss1.0_Controller Enclosure Type A Top</v>
          </cell>
          <cell r="E2601">
            <v>86.65</v>
          </cell>
          <cell r="G2601">
            <v>0</v>
          </cell>
        </row>
        <row r="2602">
          <cell r="A2602" t="str">
            <v>RND-BH003-05</v>
          </cell>
          <cell r="B2602" t="str">
            <v>41-1001708_iss1.0_Controller Enclosure Type A Cross Mount Bracket</v>
          </cell>
          <cell r="E2602">
            <v>47.95</v>
          </cell>
          <cell r="G2602">
            <v>0</v>
          </cell>
        </row>
        <row r="2603">
          <cell r="A2603" t="str">
            <v>RND-BH004-01</v>
          </cell>
          <cell r="B2603" t="str">
            <v>41-1001750_iss1.0_Controller Enclosure Router Bracket</v>
          </cell>
          <cell r="E2603">
            <v>49</v>
          </cell>
          <cell r="G2603">
            <v>0</v>
          </cell>
        </row>
        <row r="2604">
          <cell r="A2604" t="str">
            <v>RND-BH005-01</v>
          </cell>
          <cell r="B2604" t="str">
            <v>37-2001655_Cable Assy, AC, AS3112 - IEC-320 C13, 1.8m</v>
          </cell>
          <cell r="E2604">
            <v>188.62</v>
          </cell>
          <cell r="G2604">
            <v>0</v>
          </cell>
        </row>
        <row r="2605">
          <cell r="A2605" t="str">
            <v>RND-BH006-01</v>
          </cell>
          <cell r="B2605" t="str">
            <v>41-1001843_iss1.0_Gramme,PDU MQ3,Flash Cover,Top</v>
          </cell>
          <cell r="E2605">
            <v>737.88</v>
          </cell>
          <cell r="G2605">
            <v>0</v>
          </cell>
        </row>
        <row r="2606">
          <cell r="A2606" t="str">
            <v>RND-BH006-02</v>
          </cell>
          <cell r="B2606" t="str">
            <v>41-1001844_iss1.0_Gramme,PDU MQ3,Flash Cover,Middle</v>
          </cell>
          <cell r="E2606">
            <v>533.95000000000005</v>
          </cell>
          <cell r="G2606">
            <v>0</v>
          </cell>
        </row>
        <row r="2607">
          <cell r="A2607" t="str">
            <v>RND-BH006-03</v>
          </cell>
          <cell r="B2607" t="str">
            <v>41-1001845_iss1.0_Gramme,PDU MQ3,Flash Cover,Middle</v>
          </cell>
          <cell r="E2607">
            <v>140.16999999999999</v>
          </cell>
          <cell r="G2607">
            <v>0</v>
          </cell>
        </row>
        <row r="2608">
          <cell r="A2608" t="str">
            <v>RND-BH006-04</v>
          </cell>
          <cell r="B2608" t="str">
            <v>41-1001846_iss1.0_Gramme,PDU MQ3,Flash Cover,Middle</v>
          </cell>
          <cell r="E2608">
            <v>228.84</v>
          </cell>
          <cell r="G2608">
            <v>0</v>
          </cell>
        </row>
        <row r="2609">
          <cell r="A2609" t="str">
            <v>RND-BH007-01</v>
          </cell>
          <cell r="B2609" t="str">
            <v>41-1001848_iss1.0_Gramme PDU MQ6 Flash Cover Top</v>
          </cell>
          <cell r="E2609">
            <v>768.1</v>
          </cell>
          <cell r="G2609">
            <v>0</v>
          </cell>
        </row>
        <row r="2610">
          <cell r="A2610" t="str">
            <v>RND-BH007-02</v>
          </cell>
          <cell r="B2610" t="str">
            <v>41-1001849_iss1.0_ Gramme PDU MQ6 Flash Cover Middle</v>
          </cell>
          <cell r="E2610">
            <v>622.9</v>
          </cell>
          <cell r="G2610">
            <v>0</v>
          </cell>
        </row>
        <row r="2611">
          <cell r="A2611" t="str">
            <v>RND-BH007-03</v>
          </cell>
          <cell r="B2611" t="str">
            <v>41-1001850_iss1.0_Gramme PDU MQ6 Flash Cover Breaker Panel</v>
          </cell>
          <cell r="E2611">
            <v>288.5</v>
          </cell>
          <cell r="G2611">
            <v>0</v>
          </cell>
        </row>
        <row r="2612">
          <cell r="A2612" t="str">
            <v>RND-BH007-04</v>
          </cell>
          <cell r="B2612" t="str">
            <v>41-1001851_iss1.0_Gramme PDU MQ6 Flash Cover Top</v>
          </cell>
          <cell r="E2612">
            <v>407.98</v>
          </cell>
          <cell r="G2612">
            <v>0</v>
          </cell>
        </row>
        <row r="2613">
          <cell r="A2613" t="str">
            <v>RND-BH007-05</v>
          </cell>
          <cell r="B2613" t="str">
            <v>41-1001852_iss1.0_Gramme PDU MQ6 Flash Cover Top LH Box</v>
          </cell>
          <cell r="E2613">
            <v>497.5</v>
          </cell>
          <cell r="G2613">
            <v>0</v>
          </cell>
        </row>
        <row r="2614">
          <cell r="A2614" t="str">
            <v>RND-BH007-06</v>
          </cell>
          <cell r="B2614" t="str">
            <v>41-1001853_iss1.0_Gramme PDU MQ6 Flash Cover Top RH Box</v>
          </cell>
          <cell r="E2614">
            <v>567.5</v>
          </cell>
          <cell r="G2614">
            <v>0</v>
          </cell>
        </row>
        <row r="2615">
          <cell r="A2615" t="str">
            <v>RND-BH007-07</v>
          </cell>
          <cell r="B2615" t="str">
            <v>41-1001854_iss1.0_Gramme PDU MQ6 Flash Cover Middle</v>
          </cell>
          <cell r="E2615">
            <v>770.5</v>
          </cell>
          <cell r="G2615">
            <v>0</v>
          </cell>
        </row>
        <row r="2616">
          <cell r="A2616" t="str">
            <v>RND-BH007-08</v>
          </cell>
          <cell r="B2616" t="str">
            <v>41-1001855_iss1.0_Gramme PDU MQ6 Flash Cover Breaker Panel</v>
          </cell>
          <cell r="E2616">
            <v>518.70000000000005</v>
          </cell>
          <cell r="G2616">
            <v>0</v>
          </cell>
        </row>
        <row r="2617">
          <cell r="A2617" t="str">
            <v>RND-BMU</v>
          </cell>
          <cell r="B2617" t="str">
            <v>STORAGE BATTERY MANAGEMENT MODULE (BMU)</v>
          </cell>
          <cell r="E2617">
            <v>1055.51</v>
          </cell>
          <cell r="G2617">
            <v>0</v>
          </cell>
        </row>
        <row r="2618">
          <cell r="A2618" t="str">
            <v>RND-BQ24192EVM-021</v>
          </cell>
          <cell r="B2618" t="str">
            <v>EVALUATION MODULE FOR BQ2419 296-35620-ND</v>
          </cell>
          <cell r="E2618">
            <v>2543.7199999999998</v>
          </cell>
          <cell r="G2618">
            <v>0</v>
          </cell>
        </row>
        <row r="2619">
          <cell r="A2619" t="str">
            <v>RND-BQ24192RGER</v>
          </cell>
          <cell r="B2619" t="str">
            <v>BATTERY MANAGEMENT I2C CNTRL 4.5A SGL</v>
          </cell>
          <cell r="E2619">
            <v>66.88409</v>
          </cell>
          <cell r="G2619">
            <v>0</v>
          </cell>
        </row>
        <row r="2620">
          <cell r="A2620" t="str">
            <v>RND-BRIDGING-BUSBAR</v>
          </cell>
          <cell r="B2620" t="str">
            <v>BRIDGING BUSBAR</v>
          </cell>
          <cell r="E2620">
            <v>16.75254</v>
          </cell>
          <cell r="G2620">
            <v>0</v>
          </cell>
        </row>
        <row r="2621">
          <cell r="A2621" t="str">
            <v>RND-BSS84AKM,315</v>
          </cell>
          <cell r="B2621" t="str">
            <v>MOSFET P-CH 50V 230MA DFN1006-3</v>
          </cell>
          <cell r="E2621">
            <v>6.86</v>
          </cell>
          <cell r="G2621">
            <v>0</v>
          </cell>
        </row>
        <row r="2622">
          <cell r="A2622" t="str">
            <v>RND-C0402C104K8RAC78</v>
          </cell>
          <cell r="B2622" t="str">
            <v>CAP CER 0.1UF 10V X7R 0402</v>
          </cell>
          <cell r="E2622">
            <v>0.73</v>
          </cell>
          <cell r="G2622">
            <v>0</v>
          </cell>
        </row>
        <row r="2623">
          <cell r="A2623" t="str">
            <v>RND-C0402C225K9PAC78</v>
          </cell>
          <cell r="B2623" t="str">
            <v>CAP CER 2.2UF 6.3V X5R 0402</v>
          </cell>
          <cell r="E2623">
            <v>3.77</v>
          </cell>
          <cell r="G2623">
            <v>0</v>
          </cell>
        </row>
        <row r="2624">
          <cell r="A2624" t="str">
            <v>RND-C0603C103K4RECAU</v>
          </cell>
          <cell r="B2624" t="str">
            <v>CAP CER 0603 10NF 16V X7R 10% 399-17880-1-ND</v>
          </cell>
          <cell r="E2624">
            <v>1.2739400000000001</v>
          </cell>
          <cell r="G2624">
            <v>0</v>
          </cell>
        </row>
        <row r="2625">
          <cell r="A2625" t="str">
            <v>RND-C0603C104K4RAC70</v>
          </cell>
          <cell r="B2625" t="str">
            <v>CAP CER 0.1UF 16V X7R 0603</v>
          </cell>
          <cell r="E2625">
            <v>1.6</v>
          </cell>
          <cell r="G2625">
            <v>0</v>
          </cell>
        </row>
        <row r="2626">
          <cell r="A2626" t="str">
            <v>RND-C0603C104K5RAC70</v>
          </cell>
          <cell r="B2626" t="str">
            <v>CAP CER 0.1UF 50V X7R 0603 399-C0603C104K5RAC70</v>
          </cell>
          <cell r="E2626">
            <v>1.15551</v>
          </cell>
          <cell r="G2626">
            <v>0</v>
          </cell>
        </row>
        <row r="2627">
          <cell r="A2627" t="str">
            <v>RND-C0603C225K9PAC78</v>
          </cell>
          <cell r="B2627" t="str">
            <v>CAP CER 2.2UF 6.3V X5R 0603</v>
          </cell>
          <cell r="E2627">
            <v>3.77</v>
          </cell>
          <cell r="G2627">
            <v>0</v>
          </cell>
        </row>
        <row r="2628">
          <cell r="A2628" t="str">
            <v>RND-C0603C470J5GAC78</v>
          </cell>
          <cell r="B2628" t="str">
            <v>CAP CER 47PF 50V C0G/NP0 0603</v>
          </cell>
          <cell r="E2628">
            <v>3.11</v>
          </cell>
          <cell r="G2628">
            <v>0</v>
          </cell>
        </row>
        <row r="2629">
          <cell r="A2629" t="str">
            <v>RND-C0603C472K5RAC78</v>
          </cell>
          <cell r="B2629" t="str">
            <v>CAP CER 4700PF 50V X7R 0603</v>
          </cell>
          <cell r="E2629">
            <v>2.2200000000000002</v>
          </cell>
          <cell r="G2629">
            <v>0</v>
          </cell>
        </row>
        <row r="2630">
          <cell r="A2630" t="str">
            <v>RND-C0603C473K5RAC78</v>
          </cell>
          <cell r="B2630" t="str">
            <v>CAP CER 0.047UF 50V X7R 0603 399-C0603C473K5RAC7867</v>
          </cell>
          <cell r="E2630">
            <v>1.3609100000000001</v>
          </cell>
          <cell r="G2630">
            <v>0</v>
          </cell>
        </row>
        <row r="2631">
          <cell r="A2631" t="str">
            <v>RND-C0805C104M5RACAU</v>
          </cell>
          <cell r="B2631" t="str">
            <v>CAP CER 0.1UF 50V X7R 0805</v>
          </cell>
          <cell r="E2631">
            <v>2.11</v>
          </cell>
          <cell r="G2631">
            <v>0</v>
          </cell>
        </row>
        <row r="2632">
          <cell r="A2632" t="str">
            <v>RND-C0805C106K8PAC78</v>
          </cell>
          <cell r="B2632" t="str">
            <v>CAP CER 10UF 10V X5R 0805</v>
          </cell>
          <cell r="E2632">
            <v>3.11</v>
          </cell>
          <cell r="G2632">
            <v>0</v>
          </cell>
        </row>
        <row r="2633">
          <cell r="A2633" t="str">
            <v>RND-CABTYRE-4MM3CORE</v>
          </cell>
          <cell r="B2633" t="str">
            <v>CABTYRE 4MM X 3 CORE</v>
          </cell>
          <cell r="E2633">
            <v>17</v>
          </cell>
          <cell r="G2633">
            <v>0</v>
          </cell>
        </row>
        <row r="2634">
          <cell r="A2634" t="str">
            <v>RND-CAT5E-CABLE-GREY</v>
          </cell>
          <cell r="B2634" t="str">
            <v>CAT5E SOLID GREY UTP CABLE</v>
          </cell>
          <cell r="E2634">
            <v>6.5217000000000001</v>
          </cell>
          <cell r="G2634">
            <v>0</v>
          </cell>
        </row>
        <row r="2635">
          <cell r="A2635" t="str">
            <v>RND-CC0402BRNPO9BN4R</v>
          </cell>
          <cell r="B2635" t="str">
            <v>CAP CER 4.3PF 50V C0G/NPO 0402</v>
          </cell>
          <cell r="E2635">
            <v>2.2200000000000002</v>
          </cell>
          <cell r="G2635">
            <v>0</v>
          </cell>
        </row>
        <row r="2636">
          <cell r="A2636" t="str">
            <v>RND-CC0402JRNPO9BN20</v>
          </cell>
          <cell r="B2636" t="str">
            <v>CAP CER 20PF 50V C0G/NPO 0402</v>
          </cell>
          <cell r="E2636">
            <v>2.2200000000000002</v>
          </cell>
          <cell r="G2636">
            <v>0</v>
          </cell>
        </row>
        <row r="2637">
          <cell r="A2637" t="str">
            <v>RND-CC0603JRNPO9BN10</v>
          </cell>
          <cell r="B2637" t="str">
            <v>CAP CER 10PF 50V NPO 0603  311-1058-1-ND</v>
          </cell>
          <cell r="E2637">
            <v>0.8</v>
          </cell>
          <cell r="G2637">
            <v>0</v>
          </cell>
        </row>
        <row r="2638">
          <cell r="A2638" t="str">
            <v>RND-CC0603KRX7R9BB10</v>
          </cell>
          <cell r="B2638" t="str">
            <v>CAP CER 0.1UF 50V X7R 0603 311-1344-1-ND</v>
          </cell>
          <cell r="E2638">
            <v>0.88512999999999997</v>
          </cell>
          <cell r="G2638">
            <v>0</v>
          </cell>
        </row>
        <row r="2639">
          <cell r="A2639" t="str">
            <v>RND-CGA4J1X7S1C685K1</v>
          </cell>
          <cell r="B2639" t="str">
            <v>CAP CER 6.8UF 16V X7S 0805 445-16112-1-ND</v>
          </cell>
          <cell r="E2639">
            <v>7.21</v>
          </cell>
          <cell r="G2639">
            <v>0</v>
          </cell>
        </row>
        <row r="2640">
          <cell r="A2640" t="str">
            <v>RND-CGRA4007-G</v>
          </cell>
          <cell r="B2640" t="str">
            <v>DIODE GEN PURP 1KV 1A DO214AC</v>
          </cell>
          <cell r="E2640">
            <v>5.27318</v>
          </cell>
          <cell r="G2640">
            <v>0</v>
          </cell>
        </row>
        <row r="2641">
          <cell r="A2641" t="str">
            <v>RND-CHA013-TBB-SP250</v>
          </cell>
          <cell r="B2641" t="str">
            <v>TBB SP250-100 250V/100A BATTERY</v>
          </cell>
          <cell r="E2641">
            <v>6512.884</v>
          </cell>
          <cell r="G2641">
            <v>0</v>
          </cell>
        </row>
        <row r="2642">
          <cell r="A2642" t="str">
            <v>RND-CL001-01</v>
          </cell>
          <cell r="B2642" t="str">
            <v>Controller Enclosure Type A Front Face - Concept I</v>
          </cell>
          <cell r="E2642">
            <v>69.650000000000006</v>
          </cell>
          <cell r="G2642">
            <v>0</v>
          </cell>
        </row>
        <row r="2643">
          <cell r="A2643" t="str">
            <v>RND-CL001-02</v>
          </cell>
          <cell r="B2643" t="str">
            <v>Controller Enclosure Type A Front Face - Concept II</v>
          </cell>
          <cell r="E2643">
            <v>88.33</v>
          </cell>
          <cell r="G2643">
            <v>0</v>
          </cell>
        </row>
        <row r="2644">
          <cell r="A2644" t="str">
            <v>RND-CL001-03</v>
          </cell>
          <cell r="B2644" t="str">
            <v>Controller Enclosure Type A Base Panel - Concept I</v>
          </cell>
          <cell r="E2644">
            <v>166.39</v>
          </cell>
          <cell r="G2644">
            <v>0</v>
          </cell>
        </row>
        <row r="2645">
          <cell r="A2645" t="str">
            <v>RND-CL001-04</v>
          </cell>
          <cell r="B2645" t="str">
            <v>Controller Enclosure Type A Base Panel - Concept II</v>
          </cell>
          <cell r="E2645">
            <v>122.89</v>
          </cell>
          <cell r="G2645">
            <v>0</v>
          </cell>
        </row>
        <row r="2646">
          <cell r="A2646" t="str">
            <v>RND-CL001-05</v>
          </cell>
          <cell r="B2646" t="str">
            <v>Controller Enclosure Type A Base Panel - Concept I</v>
          </cell>
          <cell r="E2646">
            <v>153.31</v>
          </cell>
          <cell r="G2646">
            <v>0</v>
          </cell>
        </row>
        <row r="2647">
          <cell r="A2647" t="str">
            <v>RND-CL001-06</v>
          </cell>
          <cell r="B2647" t="str">
            <v>Controller Enclosure Type A Base Panel - Concept II</v>
          </cell>
          <cell r="E2647">
            <v>0</v>
          </cell>
          <cell r="G2647">
            <v>0</v>
          </cell>
        </row>
        <row r="2648">
          <cell r="A2648" t="str">
            <v>RND-CL001-07</v>
          </cell>
          <cell r="B2648" t="str">
            <v>Controller Enclosure Type A Mounting Bracket</v>
          </cell>
          <cell r="E2648">
            <v>14.2</v>
          </cell>
          <cell r="G2648">
            <v>0</v>
          </cell>
        </row>
        <row r="2649">
          <cell r="A2649" t="str">
            <v>RND-CL002-01</v>
          </cell>
          <cell r="B2649" t="str">
            <v>49-1001749 iss 1.0_Non-Essential Metering Box, Type A</v>
          </cell>
          <cell r="E2649">
            <v>87</v>
          </cell>
          <cell r="G2649">
            <v>0</v>
          </cell>
        </row>
        <row r="2650">
          <cell r="A2650" t="str">
            <v>RND-CL002-02</v>
          </cell>
          <cell r="B2650" t="str">
            <v>49-1001752 iss 1.0_DB 2x12 Logo Label</v>
          </cell>
          <cell r="E2650">
            <v>87</v>
          </cell>
          <cell r="G2650">
            <v>0</v>
          </cell>
        </row>
        <row r="2651">
          <cell r="A2651" t="str">
            <v>RND-CL002-03</v>
          </cell>
          <cell r="B2651" t="str">
            <v>49-1001713 iss 1.0_Sub-DB Type-A Front Panel</v>
          </cell>
          <cell r="E2651">
            <v>45.715000000000003</v>
          </cell>
          <cell r="G2651">
            <v>0</v>
          </cell>
        </row>
        <row r="2652">
          <cell r="A2652" t="str">
            <v>RND-CL002-04</v>
          </cell>
          <cell r="B2652" t="str">
            <v>49-1001718 iss 1.0_Sub-DB Type-B Front Panel</v>
          </cell>
          <cell r="E2652">
            <v>45.715000000000003</v>
          </cell>
          <cell r="G2652">
            <v>0</v>
          </cell>
        </row>
        <row r="2653">
          <cell r="A2653" t="str">
            <v>RND-CL002-05</v>
          </cell>
          <cell r="B2653" t="str">
            <v>49-1001719 iss 1.0_Sub-DB Type-C Front Panel</v>
          </cell>
          <cell r="E2653">
            <v>45.715000000000003</v>
          </cell>
          <cell r="G2653">
            <v>0</v>
          </cell>
        </row>
        <row r="2654">
          <cell r="A2654" t="str">
            <v>RND-CL002-06</v>
          </cell>
          <cell r="B2654" t="str">
            <v>49-1001747 iss 1.0_Grid Metering Box Type-A Label</v>
          </cell>
          <cell r="E2654">
            <v>45.716670000000001</v>
          </cell>
          <cell r="G2654">
            <v>0</v>
          </cell>
        </row>
        <row r="2655">
          <cell r="A2655" t="str">
            <v>RND-CL002-07</v>
          </cell>
          <cell r="B2655" t="str">
            <v>49-1001748 iss 1.0_Grid Metering Box Type-B Label</v>
          </cell>
          <cell r="E2655">
            <v>45.72</v>
          </cell>
          <cell r="G2655">
            <v>0</v>
          </cell>
        </row>
        <row r="2656">
          <cell r="A2656" t="str">
            <v>RND-CL002-08</v>
          </cell>
          <cell r="B2656" t="str">
            <v>49-1001751 iss 1.0_DB 3x18, SZ Logo Label</v>
          </cell>
          <cell r="E2656">
            <v>45.712859999999999</v>
          </cell>
          <cell r="G2656">
            <v>0</v>
          </cell>
        </row>
        <row r="2657">
          <cell r="A2657" t="str">
            <v>RND-CL003-01</v>
          </cell>
          <cell r="B2657" t="str">
            <v>49-1001748_1.0_Label, Grid Metering Box, Type B</v>
          </cell>
          <cell r="E2657">
            <v>0</v>
          </cell>
          <cell r="G2657">
            <v>0</v>
          </cell>
        </row>
        <row r="2658">
          <cell r="A2658" t="str">
            <v>RND-CL003-02</v>
          </cell>
          <cell r="B2658" t="str">
            <v>49-1001751_1.0_Label, DB 3x18, SZ Logo</v>
          </cell>
          <cell r="E2658">
            <v>0</v>
          </cell>
          <cell r="G2658">
            <v>0</v>
          </cell>
        </row>
        <row r="2659">
          <cell r="A2659" t="str">
            <v>RND-CL003-03</v>
          </cell>
          <cell r="B2659" t="str">
            <v>49-1001826_1.0_Label, Brumath AIO, Grid Metering Box, Type A</v>
          </cell>
          <cell r="E2659">
            <v>0</v>
          </cell>
          <cell r="G2659">
            <v>0</v>
          </cell>
        </row>
        <row r="2660">
          <cell r="A2660" t="str">
            <v>RND-CL003-04</v>
          </cell>
          <cell r="B2660" t="str">
            <v>49-1001823_1.0_Label, Brumath AIO, AC Connection Box, Type A</v>
          </cell>
          <cell r="E2660">
            <v>0</v>
          </cell>
          <cell r="G2660">
            <v>0</v>
          </cell>
        </row>
        <row r="2661">
          <cell r="A2661" t="str">
            <v>RND-CL003-05</v>
          </cell>
          <cell r="B2661" t="str">
            <v>49-1001829_1.0_Label, Morley Panel, Type A</v>
          </cell>
          <cell r="E2661">
            <v>0</v>
          </cell>
          <cell r="G2661">
            <v>0</v>
          </cell>
        </row>
        <row r="2662">
          <cell r="A2662" t="str">
            <v>RND-CL004-01</v>
          </cell>
          <cell r="B2662" t="str">
            <v>Faraday 15K Floor Stands, Coated</v>
          </cell>
          <cell r="E2662">
            <v>1850</v>
          </cell>
          <cell r="G2662">
            <v>0</v>
          </cell>
        </row>
        <row r="2663">
          <cell r="A2663" t="str">
            <v>RND-CL007-01</v>
          </cell>
          <cell r="B2663" t="str">
            <v>42-1001xxx_issD1_Siena Stand Frame Assy</v>
          </cell>
          <cell r="E2663">
            <v>1245.5</v>
          </cell>
          <cell r="G2663">
            <v>0</v>
          </cell>
        </row>
        <row r="2664">
          <cell r="A2664" t="str">
            <v>RND-CL007-02</v>
          </cell>
          <cell r="B2664" t="str">
            <v>Stand Brace_issD1_Stand Brace</v>
          </cell>
          <cell r="E2664">
            <v>126.6</v>
          </cell>
          <cell r="G2664">
            <v>0</v>
          </cell>
        </row>
        <row r="2665">
          <cell r="A2665" t="str">
            <v>RND-CL05A475KQ5NRNC</v>
          </cell>
          <cell r="B2665" t="str">
            <v>CAP CER 4.7UF 6.3V X5R 0402</v>
          </cell>
          <cell r="E2665">
            <v>2.2200000000000002</v>
          </cell>
          <cell r="G2665">
            <v>0</v>
          </cell>
        </row>
        <row r="2666">
          <cell r="A2666" t="str">
            <v>RND-CL10A105KA8NNNC</v>
          </cell>
          <cell r="B2666" t="str">
            <v>CAP CER 1UF 25V X5R 0603 1276-1102-2-ND</v>
          </cell>
          <cell r="E2666">
            <v>4</v>
          </cell>
          <cell r="G2666">
            <v>0</v>
          </cell>
        </row>
        <row r="2667">
          <cell r="A2667" t="str">
            <v>RND-CL10A226MPCNUBE</v>
          </cell>
          <cell r="B2667" t="str">
            <v>CAP CER 22UF 10V X5R 0603 1276-6504-2-ND</v>
          </cell>
          <cell r="E2667">
            <v>5.31318</v>
          </cell>
          <cell r="G2667">
            <v>0</v>
          </cell>
        </row>
        <row r="2668">
          <cell r="A2668" t="str">
            <v>RND-CL10B102KB8NNNC</v>
          </cell>
          <cell r="B2668" t="str">
            <v>CAP CER 1000PF 50V X7R 0603</v>
          </cell>
          <cell r="E2668">
            <v>2.35</v>
          </cell>
          <cell r="G2668">
            <v>0</v>
          </cell>
        </row>
        <row r="2669">
          <cell r="A2669" t="str">
            <v>RND-CL10B104KB8NNWC</v>
          </cell>
          <cell r="B2669" t="str">
            <v>CAP CER 0.1UF 50V X7R 0603</v>
          </cell>
          <cell r="E2669">
            <v>0.45</v>
          </cell>
          <cell r="G2669">
            <v>0</v>
          </cell>
        </row>
        <row r="2670">
          <cell r="A2670" t="str">
            <v>RND-CL21A106KAYNNNE</v>
          </cell>
          <cell r="B2670" t="str">
            <v>CAP CER 10UF 25V X5R 0805 1276-2891-1-ND</v>
          </cell>
          <cell r="E2670">
            <v>1.69398</v>
          </cell>
          <cell r="G2670">
            <v>0</v>
          </cell>
        </row>
        <row r="2671">
          <cell r="A2671" t="str">
            <v>RND-CL21A226MOQNNNE</v>
          </cell>
          <cell r="B2671" t="str">
            <v>CAP CER 22UF 16V X5R 0805 1276-2909-1-ND</v>
          </cell>
          <cell r="E2671">
            <v>4.0229499999999998</v>
          </cell>
          <cell r="G2671">
            <v>0</v>
          </cell>
        </row>
        <row r="2672">
          <cell r="A2672" t="str">
            <v>RND-CL31B105KCHNNNE</v>
          </cell>
          <cell r="B2672" t="str">
            <v>CAP CER 1UF 100V X7R 1206</v>
          </cell>
          <cell r="E2672">
            <v>4.4619999999999997</v>
          </cell>
          <cell r="G2672">
            <v>0</v>
          </cell>
        </row>
        <row r="2673">
          <cell r="A2673" t="str">
            <v>RND-CL31B106KAHNFNE</v>
          </cell>
          <cell r="B2673" t="str">
            <v>CAP CER 10UF 25V X7R 1206</v>
          </cell>
          <cell r="E2673">
            <v>5.39</v>
          </cell>
          <cell r="G2673">
            <v>0</v>
          </cell>
        </row>
        <row r="2674">
          <cell r="A2674" t="str">
            <v>RND-CL32A107MPVNNNE</v>
          </cell>
          <cell r="B2674" t="str">
            <v>CAP CER 100UF 10V X5R 1210 1276-3364-1-ND</v>
          </cell>
          <cell r="E2674">
            <v>12.51</v>
          </cell>
          <cell r="G2674">
            <v>0</v>
          </cell>
        </row>
        <row r="2675">
          <cell r="A2675" t="str">
            <v>RND-CLEARNER-SOLDER</v>
          </cell>
          <cell r="B2675" t="str">
            <v>CLEARNER SOLDERING IRON TIP</v>
          </cell>
          <cell r="E2675">
            <v>0</v>
          </cell>
          <cell r="G2675">
            <v>0</v>
          </cell>
        </row>
        <row r="2676">
          <cell r="A2676" t="str">
            <v>RND-CMI-1210-5-95T</v>
          </cell>
          <cell r="B2676" t="str">
            <v>BUZZER MAGNETIC 5V 12MM TH</v>
          </cell>
          <cell r="E2676">
            <v>29.31</v>
          </cell>
          <cell r="G2676">
            <v>0</v>
          </cell>
        </row>
        <row r="2677">
          <cell r="A2677" t="str">
            <v>RND-CMT-8504-100-SMT</v>
          </cell>
          <cell r="B2677" t="str">
            <v>BUZZER MAGNETIC 5V 8.5X8.5MM SMD</v>
          </cell>
          <cell r="E2677">
            <v>24.58</v>
          </cell>
          <cell r="G2677">
            <v>0</v>
          </cell>
        </row>
        <row r="2678">
          <cell r="A2678" t="str">
            <v>RND-CN1.0</v>
          </cell>
          <cell r="B2678" t="str">
            <v>1MM NON-INSULATED BOOTLACE</v>
          </cell>
          <cell r="E2678">
            <v>7.67</v>
          </cell>
          <cell r="G2678">
            <v>0</v>
          </cell>
        </row>
        <row r="2679">
          <cell r="A2679" t="str">
            <v>RND-CONN-HEADER-3POS</v>
          </cell>
          <cell r="B2679" t="str">
            <v>CONN HEADER R/A 3POS 4.2MM</v>
          </cell>
          <cell r="E2679">
            <v>0</v>
          </cell>
          <cell r="G2679">
            <v>0</v>
          </cell>
        </row>
        <row r="2680">
          <cell r="A2680" t="str">
            <v>RND-CONN-HEADER-4POS</v>
          </cell>
          <cell r="B2680" t="str">
            <v>CONN HEADER R/A 4POS 2MM</v>
          </cell>
          <cell r="E2680">
            <v>0</v>
          </cell>
          <cell r="G2680">
            <v>0</v>
          </cell>
        </row>
        <row r="2681">
          <cell r="A2681" t="str">
            <v>RND-CONN-HEADER-6POS</v>
          </cell>
          <cell r="B2681" t="str">
            <v>CONN HEADER R/A 6POS 2MM</v>
          </cell>
          <cell r="E2681">
            <v>0</v>
          </cell>
          <cell r="G2681">
            <v>0</v>
          </cell>
        </row>
        <row r="2682">
          <cell r="A2682" t="str">
            <v>RND-CONN-RCPT-2POS</v>
          </cell>
          <cell r="B2682" t="str">
            <v>CONN RCPT 2POS 0.059 TIN PCB</v>
          </cell>
          <cell r="E2682">
            <v>9.16</v>
          </cell>
          <cell r="G2682">
            <v>0</v>
          </cell>
        </row>
        <row r="2683">
          <cell r="A2683" t="str">
            <v>RND-CONN-RCPT-4POS</v>
          </cell>
          <cell r="B2683" t="str">
            <v>CONN RCPT 4POS 0.059 TIN PCB</v>
          </cell>
          <cell r="E2683">
            <v>12.2</v>
          </cell>
          <cell r="G2683">
            <v>0</v>
          </cell>
        </row>
        <row r="2684">
          <cell r="A2684" t="str">
            <v>RND-CONN-RCPT-6POS</v>
          </cell>
          <cell r="B2684" t="str">
            <v>CONN RCPT 6POS 0.059 TIN PCB</v>
          </cell>
          <cell r="E2684">
            <v>14.32</v>
          </cell>
          <cell r="G2684">
            <v>0</v>
          </cell>
        </row>
        <row r="2685">
          <cell r="A2685" t="str">
            <v>RND-CRCW06030000Z0EA</v>
          </cell>
          <cell r="B2685" t="str">
            <v>RES SMD 0.0 OHM JUMPER 1/4W 0603</v>
          </cell>
          <cell r="E2685">
            <v>3.5219999999999998</v>
          </cell>
          <cell r="G2685">
            <v>0</v>
          </cell>
        </row>
        <row r="2686">
          <cell r="A2686" t="str">
            <v>RND-CRGH0603F1K0</v>
          </cell>
          <cell r="B2686" t="str">
            <v>RES SMD 1K OHM 1% 1/5W 0603</v>
          </cell>
          <cell r="E2686">
            <v>1.58</v>
          </cell>
          <cell r="G2686">
            <v>0</v>
          </cell>
        </row>
        <row r="2687">
          <cell r="A2687" t="str">
            <v>RND-CRGP0603F120R</v>
          </cell>
          <cell r="B2687" t="str">
            <v>RES 120 OHM 1% 1/4W 0603</v>
          </cell>
          <cell r="E2687">
            <v>2.5819999999999999</v>
          </cell>
          <cell r="G2687">
            <v>0</v>
          </cell>
        </row>
        <row r="2688">
          <cell r="A2688" t="str">
            <v>RND-CRGP0603F1K0</v>
          </cell>
          <cell r="B2688" t="str">
            <v>RES 1K OHM 1% 1/4W 0603</v>
          </cell>
          <cell r="E2688">
            <v>3.0213299999999998</v>
          </cell>
          <cell r="G2688">
            <v>0</v>
          </cell>
        </row>
        <row r="2689">
          <cell r="A2689" t="str">
            <v>RND-CVW001-01</v>
          </cell>
          <cell r="B2689" t="str">
            <v>JUMPER WIRES ASSORTMENT 200mm (F-F F-M M-M)</v>
          </cell>
          <cell r="E2689">
            <v>80</v>
          </cell>
          <cell r="G2689">
            <v>0</v>
          </cell>
        </row>
        <row r="2690">
          <cell r="A2690" t="str">
            <v>RND-CVW001-02</v>
          </cell>
          <cell r="B2690" t="str">
            <v>SOLDER WIRE LEADED 0.71mm 500G ROLLS</v>
          </cell>
          <cell r="E2690">
            <v>390</v>
          </cell>
          <cell r="G2690">
            <v>0</v>
          </cell>
        </row>
        <row r="2691">
          <cell r="A2691" t="str">
            <v>RND-CVW001-03</v>
          </cell>
          <cell r="B2691" t="str">
            <v>SOLDER WIRE LEADED NO-CLEAN 0.5mm 500G ROLLS</v>
          </cell>
          <cell r="E2691">
            <v>440</v>
          </cell>
          <cell r="G2691">
            <v>0</v>
          </cell>
        </row>
        <row r="2692">
          <cell r="A2692" t="str">
            <v>RND-CVW001-04</v>
          </cell>
          <cell r="B2692" t="str">
            <v>FLUX AGENT LOW DENSITY 2% 500m</v>
          </cell>
          <cell r="E2692">
            <v>115</v>
          </cell>
          <cell r="G2692">
            <v>0</v>
          </cell>
        </row>
        <row r="2693">
          <cell r="A2693" t="str">
            <v>RND-CVW001-05</v>
          </cell>
          <cell r="B2693" t="str">
            <v>HEAT-SHRINK SLEEVING ASSORTMENT - COLOR</v>
          </cell>
          <cell r="E2693">
            <v>220</v>
          </cell>
          <cell r="G2693">
            <v>0</v>
          </cell>
        </row>
        <row r="2694">
          <cell r="A2694" t="str">
            <v>RND-CVW001-06</v>
          </cell>
          <cell r="B2694" t="str">
            <v>H/QUALITY BREADBOARD 830 POINT SOLDERLESS -
3/BOX</v>
          </cell>
          <cell r="E2694">
            <v>160</v>
          </cell>
          <cell r="G2694">
            <v>0</v>
          </cell>
        </row>
        <row r="2695">
          <cell r="A2695" t="str">
            <v>RND-CVW001-07</v>
          </cell>
          <cell r="B2695" t="str">
            <v>R03=AAA=BATTERY 1.5V 24/PACK, SUPER ALKALINE</v>
          </cell>
          <cell r="E2695">
            <v>137</v>
          </cell>
          <cell r="G2695">
            <v>0</v>
          </cell>
        </row>
        <row r="2696">
          <cell r="A2696" t="str">
            <v>RND-CVW001-08</v>
          </cell>
          <cell r="B2696" t="str">
            <v>ANTI-STATIC MAT KIT 600 x 400 x2mm BLUE TABLE TOP</v>
          </cell>
          <cell r="E2696">
            <v>750</v>
          </cell>
          <cell r="G2696">
            <v>0</v>
          </cell>
        </row>
        <row r="2697">
          <cell r="A2697" t="str">
            <v>RND-CVW001-09</v>
          </cell>
          <cell r="B2697" t="str">
            <v>PLUGTOP DEDICATED 16A 250V RD</v>
          </cell>
          <cell r="E2697">
            <v>23</v>
          </cell>
          <cell r="G2697">
            <v>0</v>
          </cell>
        </row>
        <row r="2698">
          <cell r="A2698" t="str">
            <v>RND-CVW001-10</v>
          </cell>
          <cell r="B2698" t="str">
            <v>11WAY RAIL MNT TERMPOST (GREY)</v>
          </cell>
          <cell r="E2698">
            <v>41.59</v>
          </cell>
          <cell r="G2698">
            <v>0</v>
          </cell>
        </row>
        <row r="2699">
          <cell r="A2699" t="str">
            <v>RND-CVW001-12</v>
          </cell>
          <cell r="B2699" t="str">
            <v>24mm HEAT SHRINK TUBE BLU (25M)</v>
          </cell>
          <cell r="E2699">
            <v>1067.28</v>
          </cell>
          <cell r="G2699">
            <v>0</v>
          </cell>
        </row>
        <row r="2700">
          <cell r="A2700" t="str">
            <v>RND-CVW002-01</v>
          </cell>
          <cell r="B2700" t="str">
            <v>.14-10mm2 WIRE END CRIMPING TOOL</v>
          </cell>
          <cell r="E2700">
            <v>2058.6799999999998</v>
          </cell>
          <cell r="G2700">
            <v>0</v>
          </cell>
        </row>
        <row r="2701">
          <cell r="A2701" t="str">
            <v>RND-CVW002-02</v>
          </cell>
          <cell r="B2701" t="str">
            <v>70mm2 CABLE SHEARS STRANDED CU</v>
          </cell>
          <cell r="E2701">
            <v>573.35</v>
          </cell>
          <cell r="G2701">
            <v>0</v>
          </cell>
        </row>
        <row r="2702">
          <cell r="A2702" t="str">
            <v>RND-CVW003-01</v>
          </cell>
          <cell r="B2702" t="str">
            <v>0.5mm2 WHT INS FERRULE (100)</v>
          </cell>
          <cell r="E2702">
            <v>0.13869999999999999</v>
          </cell>
          <cell r="G2702">
            <v>0</v>
          </cell>
        </row>
        <row r="2703">
          <cell r="A2703" t="str">
            <v>RND-CVW003-02</v>
          </cell>
          <cell r="B2703" t="str">
            <v>0.75mm2 BLU INS FERRULE (100)</v>
          </cell>
          <cell r="E2703">
            <v>0.1406</v>
          </cell>
          <cell r="G2703">
            <v>0</v>
          </cell>
        </row>
        <row r="2704">
          <cell r="A2704" t="str">
            <v>RND-CVW003-03</v>
          </cell>
          <cell r="B2704" t="str">
            <v>1mm2 RED INS FERRULE (100)</v>
          </cell>
          <cell r="E2704">
            <v>0.1426</v>
          </cell>
          <cell r="G2704">
            <v>0</v>
          </cell>
        </row>
        <row r="2705">
          <cell r="A2705" t="str">
            <v>RND-CVW003-04</v>
          </cell>
          <cell r="B2705" t="str">
            <v>1.5mm2 BLK INS FERRULE (100)</v>
          </cell>
          <cell r="E2705">
            <v>0.14399999999999999</v>
          </cell>
          <cell r="G2705">
            <v>0</v>
          </cell>
        </row>
        <row r="2706">
          <cell r="A2706" t="str">
            <v>RND-CVW003-05</v>
          </cell>
          <cell r="B2706" t="str">
            <v>2.5mm2 GRY INS FERRULE (100)</v>
          </cell>
          <cell r="E2706">
            <v>0.20469999999999999</v>
          </cell>
          <cell r="G2706">
            <v>0</v>
          </cell>
        </row>
        <row r="2707">
          <cell r="A2707" t="str">
            <v>RND-CVW003-06</v>
          </cell>
          <cell r="B2707" t="str">
            <v>2.5x100mm BLACK STD CAB TIE (100)</v>
          </cell>
          <cell r="E2707">
            <v>8.3199999999999996E-2</v>
          </cell>
          <cell r="G2707">
            <v>0</v>
          </cell>
        </row>
        <row r="2708">
          <cell r="A2708" t="str">
            <v>RND-CVW003-07</v>
          </cell>
          <cell r="B2708" t="str">
            <v>3.6x370 mm BLACK STD CAB TIE (100)</v>
          </cell>
          <cell r="E2708">
            <v>2.1320000000000001</v>
          </cell>
          <cell r="G2708">
            <v>0</v>
          </cell>
        </row>
        <row r="2709">
          <cell r="A2709" t="str">
            <v>RND-CVW003-08</v>
          </cell>
          <cell r="B2709" t="str">
            <v>11WAY RAIL MNT TERM. POST (GREEN)</v>
          </cell>
          <cell r="E2709">
            <v>41.59</v>
          </cell>
          <cell r="G2709">
            <v>0</v>
          </cell>
        </row>
        <row r="2710">
          <cell r="A2710" t="str">
            <v>RND-CVW003-09</v>
          </cell>
          <cell r="B2710" t="str">
            <v>11WAY RAIL MNT TERMPOST (BLUE)</v>
          </cell>
          <cell r="E2710">
            <v>41.59</v>
          </cell>
          <cell r="G2710">
            <v>0</v>
          </cell>
        </row>
        <row r="2711">
          <cell r="A2711" t="str">
            <v>RND-CVW003-11</v>
          </cell>
          <cell r="B2711" t="str">
            <v>12mm HEAT SHRINK TUBE BLK (50M)</v>
          </cell>
          <cell r="E2711">
            <v>610.54</v>
          </cell>
          <cell r="G2711">
            <v>0</v>
          </cell>
        </row>
        <row r="2712">
          <cell r="A2712" t="str">
            <v>RND-CVW004-01</v>
          </cell>
          <cell r="B2712" t="str">
            <v>UTP Cable Stripper Tool</v>
          </cell>
          <cell r="E2712">
            <v>39.130000000000003</v>
          </cell>
          <cell r="G2712">
            <v>0</v>
          </cell>
        </row>
        <row r="2713">
          <cell r="A2713" t="str">
            <v>RND-CVW004-02</v>
          </cell>
          <cell r="B2713" t="str">
            <v>UTP Combo Crimp Tool RJ11/RJ12/RJ45</v>
          </cell>
          <cell r="E2713">
            <v>152.16999999999999</v>
          </cell>
          <cell r="G2713">
            <v>0</v>
          </cell>
        </row>
        <row r="2714">
          <cell r="A2714" t="str">
            <v>RND-CVW005-01</v>
          </cell>
          <cell r="B2714" t="str">
            <v>305M Box Cat5e Stranded Grey UTP Cable</v>
          </cell>
          <cell r="E2714">
            <v>2865.22</v>
          </cell>
          <cell r="G2714">
            <v>0</v>
          </cell>
        </row>
        <row r="2715">
          <cell r="A2715" t="str">
            <v>RND-CVW005-02</v>
          </cell>
          <cell r="B2715" t="str">
            <v>RJ45 Cat5e UTP Modular Plug</v>
          </cell>
          <cell r="E2715">
            <v>1.3</v>
          </cell>
          <cell r="G2715">
            <v>0</v>
          </cell>
        </row>
        <row r="2716">
          <cell r="A2716" t="str">
            <v>RND-CVW006-01</v>
          </cell>
          <cell r="B2716" t="str">
            <v>HEAT GUN 230V 2000W RYOBI</v>
          </cell>
          <cell r="E2716">
            <v>0</v>
          </cell>
          <cell r="G2716">
            <v>0</v>
          </cell>
        </row>
        <row r="2717">
          <cell r="A2717" t="str">
            <v>RND-CVW007-01</v>
          </cell>
          <cell r="B2717" t="str">
            <v>INSULATION TAPE BLACK NITTO</v>
          </cell>
          <cell r="E2717">
            <v>25</v>
          </cell>
          <cell r="G2717">
            <v>5</v>
          </cell>
        </row>
        <row r="2718">
          <cell r="A2718" t="str">
            <v>RND-CVW007-02</v>
          </cell>
          <cell r="B2718" t="str">
            <v>PVC INSULATION TAPE 18mm 20m 0.2mm RED</v>
          </cell>
          <cell r="E2718">
            <v>16</v>
          </cell>
          <cell r="G2718">
            <v>5</v>
          </cell>
        </row>
        <row r="2719">
          <cell r="A2719" t="str">
            <v>RND-CVW007-03</v>
          </cell>
          <cell r="B2719" t="str">
            <v>PVC INSULATION TAPE 18mm 20m 0.2mm BLUE</v>
          </cell>
          <cell r="E2719">
            <v>16</v>
          </cell>
          <cell r="G2719">
            <v>5</v>
          </cell>
        </row>
        <row r="2720">
          <cell r="A2720" t="str">
            <v>RND-CVW008-01</v>
          </cell>
          <cell r="B2720" t="str">
            <v>2P 16A ON-OFF SWITCH</v>
          </cell>
          <cell r="E2720">
            <v>197.98</v>
          </cell>
          <cell r="G2720">
            <v>0</v>
          </cell>
        </row>
        <row r="2721">
          <cell r="A2721" t="str">
            <v>RND-CVW008-02</v>
          </cell>
          <cell r="B2721" t="str">
            <v>M12 GLAND LOCKNUT GREY</v>
          </cell>
          <cell r="E2721">
            <v>0.89</v>
          </cell>
          <cell r="G2721">
            <v>0</v>
          </cell>
        </row>
        <row r="2722">
          <cell r="A2722" t="str">
            <v>RND-CVW008-03</v>
          </cell>
          <cell r="B2722" t="str">
            <v>M12 COMPRESSION GLAND GREY</v>
          </cell>
          <cell r="E2722">
            <v>4.55</v>
          </cell>
          <cell r="G2722">
            <v>0</v>
          </cell>
        </row>
        <row r="2723">
          <cell r="A2723" t="str">
            <v>RND-CVW008-04</v>
          </cell>
          <cell r="B2723" t="str">
            <v>1A 2P 6kA C-CURVE MCB</v>
          </cell>
          <cell r="E2723">
            <v>258.19</v>
          </cell>
          <cell r="G2723">
            <v>0</v>
          </cell>
        </row>
        <row r="2724">
          <cell r="A2724" t="str">
            <v>RND-CVW008-05</v>
          </cell>
          <cell r="B2724" t="str">
            <v>22mm WHT P/MNT VOLTMETER 5-60VDC</v>
          </cell>
          <cell r="E2724">
            <v>70.849999999999994</v>
          </cell>
          <cell r="G2724">
            <v>0</v>
          </cell>
        </row>
        <row r="2725">
          <cell r="A2725" t="str">
            <v>RND-CVW008-06</v>
          </cell>
          <cell r="B2725" t="str">
            <v>PVC HOUSING IP56 300x220x170 DEEP</v>
          </cell>
          <cell r="E2725">
            <v>386.47</v>
          </cell>
          <cell r="G2725">
            <v>0</v>
          </cell>
        </row>
        <row r="2726">
          <cell r="A2726" t="str">
            <v>RND-CVW008-07</v>
          </cell>
          <cell r="B2726" t="str">
            <v>M/BLOCK RED LED P/LIGHT 230VAC</v>
          </cell>
          <cell r="E2726">
            <v>61.36</v>
          </cell>
          <cell r="G2726">
            <v>0</v>
          </cell>
        </row>
        <row r="2727">
          <cell r="A2727" t="str">
            <v>RND-CVW008-08</v>
          </cell>
          <cell r="B2727" t="str">
            <v>LYTE II POWER SUPPLY 48VDC 120W 1PH</v>
          </cell>
          <cell r="E2727">
            <v>503.15</v>
          </cell>
          <cell r="G2727">
            <v>0</v>
          </cell>
        </row>
        <row r="2728">
          <cell r="A2728" t="str">
            <v>RND-CVW011-01</v>
          </cell>
          <cell r="B2728" t="str">
            <v>PSU Aluminium DIN Rail Clip</v>
          </cell>
          <cell r="E2728">
            <v>30</v>
          </cell>
          <cell r="G2728">
            <v>0</v>
          </cell>
        </row>
        <row r="2729">
          <cell r="A2729" t="str">
            <v>RND-CVW011-03</v>
          </cell>
          <cell r="B2729" t="str">
            <v>Micro-USB to USB-A 800mm Data Cable</v>
          </cell>
          <cell r="E2729">
            <v>14</v>
          </cell>
          <cell r="G2729">
            <v>0</v>
          </cell>
        </row>
        <row r="2730">
          <cell r="A2730" t="str">
            <v>RND-CVW012-05</v>
          </cell>
          <cell r="B2730" t="str">
            <v>3P Plug-In Bridge Bar for WTP1.5</v>
          </cell>
          <cell r="E2730">
            <v>8.1199999999999992</v>
          </cell>
          <cell r="G2730">
            <v>0</v>
          </cell>
        </row>
        <row r="2731">
          <cell r="A2731" t="str">
            <v>RND-CVW012-08</v>
          </cell>
          <cell r="B2731" t="str">
            <v>1A 1P 6kA C-Curve MCB</v>
          </cell>
          <cell r="E2731">
            <v>97.21</v>
          </cell>
          <cell r="G2731">
            <v>0</v>
          </cell>
        </row>
        <row r="2732">
          <cell r="A2732" t="str">
            <v>RND-CVW012-09</v>
          </cell>
          <cell r="B2732" t="str">
            <v>24 Way Surface D/B Transparent Door</v>
          </cell>
          <cell r="E2732">
            <v>439.59</v>
          </cell>
          <cell r="G2732">
            <v>0</v>
          </cell>
        </row>
        <row r="2733">
          <cell r="A2733" t="str">
            <v>RND-CVW012-17</v>
          </cell>
          <cell r="B2733" t="str">
            <v>16mm Rail Mount Screw Terminal</v>
          </cell>
          <cell r="E2733">
            <v>18.22</v>
          </cell>
          <cell r="G2733">
            <v>0</v>
          </cell>
        </row>
        <row r="2734">
          <cell r="A2734" t="str">
            <v>RND-CVW013-01</v>
          </cell>
          <cell r="B2734" t="str">
            <v>Industrial Isolated 8 Channel RS485 Repeater</v>
          </cell>
          <cell r="E2734">
            <v>1430.9</v>
          </cell>
          <cell r="G2734">
            <v>0</v>
          </cell>
        </row>
        <row r="2735">
          <cell r="A2735" t="str">
            <v>RND-CVW013-02</v>
          </cell>
          <cell r="B2735" t="str">
            <v>Industrial 8I/80 Modbus Module</v>
          </cell>
          <cell r="E2735">
            <v>1302.92</v>
          </cell>
          <cell r="G2735">
            <v>0</v>
          </cell>
        </row>
        <row r="2736">
          <cell r="A2736" t="str">
            <v>RND-CVW014-01</v>
          </cell>
          <cell r="B2736" t="str">
            <v>Mikrotik hAP Lite WiFi Router</v>
          </cell>
          <cell r="E2736">
            <v>517.39</v>
          </cell>
          <cell r="G2736">
            <v>0</v>
          </cell>
        </row>
        <row r="2737">
          <cell r="A2737" t="str">
            <v>RND-CVW014-02</v>
          </cell>
          <cell r="B2737" t="str">
            <v>UTP Cable Tester</v>
          </cell>
          <cell r="E2737">
            <v>156.52000000000001</v>
          </cell>
          <cell r="G2737">
            <v>0</v>
          </cell>
        </row>
        <row r="2738">
          <cell r="A2738" t="str">
            <v>RND-CVW015-01</v>
          </cell>
          <cell r="B2738" t="str">
            <v>AC/DC CONVERTER 5V 24V 12V - RT50D</v>
          </cell>
          <cell r="E2738">
            <v>414.24</v>
          </cell>
          <cell r="G2738">
            <v>0</v>
          </cell>
        </row>
        <row r="2739">
          <cell r="A2739" t="str">
            <v>RND-CVW016-01</v>
          </cell>
          <cell r="B2739" t="str">
            <v>cAPL 2.4GHz 1.5dBi PoE Ceiling Mount AP</v>
          </cell>
          <cell r="E2739">
            <v>543.48</v>
          </cell>
          <cell r="G2739">
            <v>0</v>
          </cell>
        </row>
        <row r="2740">
          <cell r="A2740" t="str">
            <v>RND-CVW016-02</v>
          </cell>
          <cell r="B2740" t="str">
            <v>Single Port 10/100 Passive PoE Injector</v>
          </cell>
          <cell r="E2740">
            <v>31.305</v>
          </cell>
          <cell r="G2740">
            <v>0</v>
          </cell>
        </row>
        <row r="2741">
          <cell r="A2741" t="str">
            <v>RND-CVW017-01</v>
          </cell>
          <cell r="B2741" t="str">
            <v>LED Holder Chrome 3mm - Concave</v>
          </cell>
          <cell r="E2741">
            <v>6</v>
          </cell>
          <cell r="G2741">
            <v>0</v>
          </cell>
        </row>
        <row r="2742">
          <cell r="A2742" t="str">
            <v>RND-CVW017-02</v>
          </cell>
          <cell r="B2742" t="str">
            <v>LED 3mm GR-DI RND 160mcd 35D</v>
          </cell>
          <cell r="E2742">
            <v>3</v>
          </cell>
          <cell r="G2742">
            <v>0</v>
          </cell>
        </row>
        <row r="2743">
          <cell r="A2743" t="str">
            <v>RND-CVW017-03</v>
          </cell>
          <cell r="B2743" t="str">
            <v>LED 3mm DI-RD RND</v>
          </cell>
          <cell r="E2743">
            <v>2.5</v>
          </cell>
          <cell r="G2743">
            <v>0</v>
          </cell>
        </row>
        <row r="2744">
          <cell r="A2744" t="str">
            <v>RND-CVW017-04</v>
          </cell>
          <cell r="B2744" t="str">
            <v>2.1x9mm DC SOCKET IN-LINE</v>
          </cell>
          <cell r="E2744">
            <v>3.5</v>
          </cell>
          <cell r="G2744">
            <v>0</v>
          </cell>
        </row>
        <row r="2745">
          <cell r="A2745" t="str">
            <v>RND-CVW017-05</v>
          </cell>
          <cell r="B2745" t="str">
            <v>SWITCH SLIDE SPDT ON-ON SOL</v>
          </cell>
          <cell r="E2745">
            <v>13</v>
          </cell>
          <cell r="G2745">
            <v>0</v>
          </cell>
        </row>
        <row r="2746">
          <cell r="A2746" t="str">
            <v>RND-CVW017-06</v>
          </cell>
          <cell r="B2746" t="str">
            <v>TOGGLE SWITCH RED WITH SAFETY PROTECTOR</v>
          </cell>
          <cell r="E2746">
            <v>50</v>
          </cell>
          <cell r="G2746">
            <v>0</v>
          </cell>
        </row>
        <row r="2747">
          <cell r="A2747" t="str">
            <v>RND-CVW017-07</v>
          </cell>
          <cell r="B2747" t="str">
            <v>6MM LED INDICATOR 12VDC GREEN</v>
          </cell>
          <cell r="E2747">
            <v>13</v>
          </cell>
          <cell r="G2747">
            <v>0</v>
          </cell>
        </row>
        <row r="2748">
          <cell r="A2748" t="str">
            <v>RND-CVW017-08</v>
          </cell>
          <cell r="B2748" t="str">
            <v>LED PANEL MOUNT INDICATOR 6mm 12VDC RED</v>
          </cell>
          <cell r="E2748">
            <v>16</v>
          </cell>
          <cell r="G2748">
            <v>0</v>
          </cell>
        </row>
        <row r="2749">
          <cell r="A2749" t="str">
            <v>RND-CVW018-01</v>
          </cell>
          <cell r="B2749" t="str">
            <v>WIFI/BT ANTENNA</v>
          </cell>
          <cell r="E2749">
            <v>51.1</v>
          </cell>
          <cell r="G2749">
            <v>0</v>
          </cell>
        </row>
        <row r="2750">
          <cell r="A2750" t="str">
            <v>RND-CVW019-01</v>
          </cell>
          <cell r="B2750" t="str">
            <v>Panel Mount Lamp Indicator LED 6mm 5V - Blue</v>
          </cell>
          <cell r="E2750">
            <v>20.633679999999998</v>
          </cell>
          <cell r="G2750">
            <v>0</v>
          </cell>
        </row>
        <row r="2751">
          <cell r="A2751" t="str">
            <v>RND-CVW019-02</v>
          </cell>
          <cell r="B2751" t="str">
            <v>Panel Mount Lamp Indicator LED 6mm 12V - Green</v>
          </cell>
          <cell r="E2751">
            <v>26.062999999999999</v>
          </cell>
          <cell r="G2751">
            <v>0</v>
          </cell>
        </row>
        <row r="2752">
          <cell r="A2752" t="str">
            <v>RND-CVW019-03</v>
          </cell>
          <cell r="B2752" t="str">
            <v>Panel Mount Lamp Indicator LED 6mm 24V - Red</v>
          </cell>
          <cell r="E2752">
            <v>15.2035</v>
          </cell>
          <cell r="G2752">
            <v>0</v>
          </cell>
        </row>
        <row r="2753">
          <cell r="A2753" t="str">
            <v>RND-D5V0F3B6LP20-7</v>
          </cell>
          <cell r="B2753" t="str">
            <v>TVS DIODE 5.5VWM 14VCL 6UDFN D5V0F3B6LP20-7DICT-ND</v>
          </cell>
          <cell r="E2753">
            <v>11.48659</v>
          </cell>
          <cell r="G2753">
            <v>0</v>
          </cell>
        </row>
        <row r="2754">
          <cell r="A2754" t="str">
            <v>RND-D5V0L1B2LP-7B</v>
          </cell>
          <cell r="B2754" t="str">
            <v>TVS DIODE 5VWM 14VC DFN1006-2 D5V0L1B2LP-7BDICT-ND</v>
          </cell>
          <cell r="E2754">
            <v>5.33</v>
          </cell>
          <cell r="G2754">
            <v>0</v>
          </cell>
        </row>
        <row r="2755">
          <cell r="A2755" t="str">
            <v>RND-DF11-20DS-2C</v>
          </cell>
          <cell r="B2755" t="str">
            <v>CONN RCPT HSG 20POS 2.00MM</v>
          </cell>
          <cell r="E2755">
            <v>6.71</v>
          </cell>
          <cell r="G2755">
            <v>0</v>
          </cell>
        </row>
        <row r="2756">
          <cell r="A2756" t="str">
            <v>RND-DF11-22SCFA(04)</v>
          </cell>
          <cell r="B2756" t="str">
            <v>CONN SOCKET 22AWG CRIMP GOLD</v>
          </cell>
          <cell r="E2756">
            <v>4.0627599999999999</v>
          </cell>
          <cell r="G2756">
            <v>0</v>
          </cell>
        </row>
        <row r="2757">
          <cell r="A2757" t="str">
            <v>RND-DF11-2428SCFA</v>
          </cell>
          <cell r="B2757" t="str">
            <v>CONN SOCKET 24-28AWG CRIMP G</v>
          </cell>
          <cell r="E2757">
            <v>2.7</v>
          </cell>
          <cell r="G2757">
            <v>0</v>
          </cell>
        </row>
        <row r="2758">
          <cell r="A2758" t="str">
            <v>RND-DF11-30DS-2C</v>
          </cell>
          <cell r="B2758" t="str">
            <v>CONN RCPT HSG 30POS 2.00MM</v>
          </cell>
          <cell r="E2758">
            <v>7.81</v>
          </cell>
          <cell r="G2758">
            <v>0</v>
          </cell>
        </row>
        <row r="2759">
          <cell r="A2759" t="str">
            <v>RND-DF11-4DP-2DS(24)</v>
          </cell>
          <cell r="B2759" t="str">
            <v>CONN HEADER R/A 4POS 2MM</v>
          </cell>
          <cell r="E2759">
            <v>8.8699999999999992</v>
          </cell>
          <cell r="G2759">
            <v>0</v>
          </cell>
        </row>
        <row r="2760">
          <cell r="A2760" t="str">
            <v>RND-DF11-4DS-2C</v>
          </cell>
          <cell r="B2760" t="str">
            <v>CONN SOCKET 4POS 2MM DUAL CRIMP H2019-ND</v>
          </cell>
          <cell r="E2760">
            <v>3.94</v>
          </cell>
          <cell r="G2760">
            <v>0</v>
          </cell>
        </row>
        <row r="2761">
          <cell r="A2761" t="str">
            <v>RND-DF11-6DP-2DS(24)</v>
          </cell>
          <cell r="B2761" t="str">
            <v>CONN HEADER R/A 6POS 2MM</v>
          </cell>
          <cell r="E2761">
            <v>23.36</v>
          </cell>
          <cell r="G2761">
            <v>0</v>
          </cell>
        </row>
        <row r="2762">
          <cell r="A2762" t="str">
            <v>RND-DF11-6DS-2C</v>
          </cell>
          <cell r="B2762" t="str">
            <v>CONN RCPT HSG 6POS 2.00MM 6889095</v>
          </cell>
          <cell r="E2762">
            <v>4.3600000000000003</v>
          </cell>
          <cell r="G2762">
            <v>0</v>
          </cell>
        </row>
        <row r="2763">
          <cell r="A2763" t="str">
            <v>RND-DF11C-20DP-2V(57</v>
          </cell>
          <cell r="B2763" t="str">
            <v>CONN HEADER SMD 20POS 2MM</v>
          </cell>
          <cell r="E2763">
            <v>76.11</v>
          </cell>
          <cell r="G2763">
            <v>0</v>
          </cell>
        </row>
        <row r="2764">
          <cell r="A2764" t="str">
            <v>RND-DF11C-30DP-2V(57</v>
          </cell>
          <cell r="B2764" t="str">
            <v>CONN HEADER SMD 30POS 2MM</v>
          </cell>
          <cell r="E2764">
            <v>96.71</v>
          </cell>
          <cell r="G2764">
            <v>0</v>
          </cell>
        </row>
        <row r="2765">
          <cell r="A2765" t="str">
            <v>RND-DLM0NSN900HY2D</v>
          </cell>
          <cell r="B2765" t="str">
            <v>CMC 100MA 2LN 90 OHM SMD  490-DLM0NSN900HY2DCT</v>
          </cell>
          <cell r="E2765">
            <v>2.79182</v>
          </cell>
          <cell r="G2765">
            <v>0</v>
          </cell>
        </row>
        <row r="2766">
          <cell r="A2766" t="str">
            <v>RND-E18-D80NK</v>
          </cell>
          <cell r="B2766" t="str">
            <v>E18-D80NK ADJUSTABLE IR PROXIMITY SENSOR</v>
          </cell>
          <cell r="E2766">
            <v>62.89</v>
          </cell>
          <cell r="G2766">
            <v>0</v>
          </cell>
        </row>
        <row r="2767">
          <cell r="A2767" t="str">
            <v>RND-E40-1-12W</v>
          </cell>
          <cell r="B2767" t="str">
            <v>12W SOLAR PANEL, 40WH LITHIUM IRON PHOSPHATE BATTERY, 3-260 LUMENS LAMPS RADIO</v>
          </cell>
          <cell r="E2767">
            <v>12047.34</v>
          </cell>
          <cell r="G2767">
            <v>0</v>
          </cell>
        </row>
        <row r="2768">
          <cell r="A2768" t="str">
            <v>RND-E60-1-18W</v>
          </cell>
          <cell r="B2768" t="str">
            <v>18W SOLAR PANEL+ 60WH ITHIUM IRON PHASPHATE BATTERY + 3X520 LUMENS LAMPS + 1X REMOVE SWITCH FOR LAMP</v>
          </cell>
          <cell r="E2768">
            <v>14602.37</v>
          </cell>
          <cell r="G2768">
            <v>0</v>
          </cell>
        </row>
        <row r="2769">
          <cell r="A2769" t="str">
            <v>RND-ECOLTO-COLL-HARN</v>
          </cell>
          <cell r="B2769" t="str">
            <v>COLLECTION HARNESS (4-CHANNEL TEMPARATURE COLLECTION WIRE HARNESS0ON</v>
          </cell>
          <cell r="E2769">
            <v>805.05</v>
          </cell>
          <cell r="G2769">
            <v>0</v>
          </cell>
        </row>
        <row r="2770">
          <cell r="A2770" t="str">
            <v>RND-ECOLTO-FAN-HARN</v>
          </cell>
          <cell r="B2770" t="str">
            <v>WIRE HARNESS (ECOLTO) FAN POWER WIRE HARNESS</v>
          </cell>
          <cell r="E2770">
            <v>1431.2</v>
          </cell>
          <cell r="G2770">
            <v>0</v>
          </cell>
        </row>
        <row r="2771">
          <cell r="A2771" t="str">
            <v>RND-ECOLTO-WIRE-HARN</v>
          </cell>
          <cell r="B2771" t="str">
            <v>WIRE HARNESS (COLTO) - MASTER-SLAVE COMMUNICATION/POWER WIRE HARNESS</v>
          </cell>
          <cell r="E2771">
            <v>1789</v>
          </cell>
          <cell r="G2771">
            <v>0</v>
          </cell>
        </row>
        <row r="2772">
          <cell r="A2772" t="str">
            <v>RND-ECS-80-12-30-JGM</v>
          </cell>
          <cell r="B2772" t="str">
            <v>CRYSTAL 8.0000MHZ 12PF SMD</v>
          </cell>
          <cell r="E2772">
            <v>68.010000000000005</v>
          </cell>
          <cell r="G2772">
            <v>0</v>
          </cell>
        </row>
        <row r="2773">
          <cell r="A2773" t="str">
            <v>RND-ENCL-LID-V5</v>
          </cell>
          <cell r="B2773" t="str">
            <v>ENCLOSURE LID V5</v>
          </cell>
          <cell r="E2773">
            <v>166.87</v>
          </cell>
          <cell r="G2773">
            <v>0</v>
          </cell>
        </row>
        <row r="2774">
          <cell r="A2774" t="str">
            <v>RND-ENCL-SUPPORT</v>
          </cell>
          <cell r="B2774" t="str">
            <v>ENCLOSURE SUPPORT</v>
          </cell>
          <cell r="E2774">
            <v>26.8</v>
          </cell>
          <cell r="G2774">
            <v>0</v>
          </cell>
        </row>
        <row r="2775">
          <cell r="A2775" t="str">
            <v>RND-ENCL-TEST-STAND</v>
          </cell>
          <cell r="B2775" t="str">
            <v>ENCLOSURE TEST STAND</v>
          </cell>
          <cell r="E2775">
            <v>1830</v>
          </cell>
          <cell r="G2775">
            <v>0</v>
          </cell>
        </row>
        <row r="2776">
          <cell r="A2776" t="str">
            <v>RND-END-BUSBAR</v>
          </cell>
          <cell r="B2776" t="str">
            <v>END BUSBAR</v>
          </cell>
          <cell r="E2776">
            <v>30.12143</v>
          </cell>
          <cell r="G2776">
            <v>0</v>
          </cell>
        </row>
        <row r="2777">
          <cell r="A2777" t="str">
            <v>RND-ERA-3AEB1073V</v>
          </cell>
          <cell r="B2777" t="str">
            <v>RES SMD 107K OHM 0.1% 1/10W 0603 P107KDBCT-ND</v>
          </cell>
          <cell r="E2777">
            <v>6.64</v>
          </cell>
          <cell r="G2777">
            <v>0</v>
          </cell>
        </row>
        <row r="2778">
          <cell r="A2778" t="str">
            <v>RND-ERJ-2GE0R00X</v>
          </cell>
          <cell r="B2778" t="str">
            <v>RES SMD 0.0OHM JUMPER 1/10W 0402  P0.0JCT-ND</v>
          </cell>
          <cell r="E2778">
            <v>0.45</v>
          </cell>
          <cell r="G2778">
            <v>0</v>
          </cell>
        </row>
        <row r="2779">
          <cell r="A2779" t="str">
            <v>RND-ERJ-2RKF2003X</v>
          </cell>
          <cell r="B2779" t="str">
            <v>RES SMD 200K OHM 1% 1/10W 0402</v>
          </cell>
          <cell r="E2779">
            <v>2.2200000000000002</v>
          </cell>
          <cell r="G2779">
            <v>0</v>
          </cell>
        </row>
        <row r="2780">
          <cell r="A2780" t="str">
            <v>RND-ERJ-3EKF1000V</v>
          </cell>
          <cell r="B2780" t="str">
            <v>RES SMD 100 OHM 1% 1/10W 0603</v>
          </cell>
          <cell r="E2780">
            <v>2.2200000000000002</v>
          </cell>
          <cell r="G2780">
            <v>0</v>
          </cell>
        </row>
        <row r="2781">
          <cell r="A2781" t="str">
            <v>RND-ERJ-3EKF2002V</v>
          </cell>
          <cell r="B2781" t="str">
            <v>RES SMD 20K OHM 1% 1/10W 0603</v>
          </cell>
          <cell r="E2781">
            <v>0.93</v>
          </cell>
          <cell r="G2781">
            <v>0</v>
          </cell>
        </row>
        <row r="2782">
          <cell r="A2782" t="str">
            <v>RND-ERJ-3EKF4701V</v>
          </cell>
          <cell r="B2782" t="str">
            <v>RES SMD 4.7K OHM 1% 1/10W 0603</v>
          </cell>
          <cell r="E2782">
            <v>2.2200000000000002</v>
          </cell>
          <cell r="G2782">
            <v>0</v>
          </cell>
        </row>
        <row r="2783">
          <cell r="A2783" t="str">
            <v>RND-ERJ-PA3F1200V</v>
          </cell>
          <cell r="B2783" t="str">
            <v>RES SMD 120 OHM 1% 1/4W 0603</v>
          </cell>
          <cell r="E2783">
            <v>3.11</v>
          </cell>
          <cell r="G2783">
            <v>0</v>
          </cell>
        </row>
        <row r="2784">
          <cell r="A2784" t="str">
            <v>RND-ERJ-PA3F4300V</v>
          </cell>
          <cell r="B2784" t="str">
            <v>RES SMD 430 OHM 1% 1/3W 0603</v>
          </cell>
          <cell r="E2784">
            <v>2.78</v>
          </cell>
          <cell r="G2784">
            <v>0</v>
          </cell>
        </row>
        <row r="2785">
          <cell r="A2785" t="str">
            <v>RND-ESDA6V1-5W6</v>
          </cell>
          <cell r="B2785" t="str">
            <v>TVS DIODE 3VWM SOT323-6L 497-6634-1-ND</v>
          </cell>
          <cell r="E2785">
            <v>10.050000000000001</v>
          </cell>
          <cell r="G2785">
            <v>0</v>
          </cell>
        </row>
        <row r="2786">
          <cell r="A2786" t="str">
            <v>RND-ESP32-3-DEV RND</v>
          </cell>
          <cell r="B2786" t="str">
            <v>ESP32-C3-DEVKITM-1 DEV BOARD</v>
          </cell>
          <cell r="E2786">
            <v>0</v>
          </cell>
          <cell r="G2786">
            <v>0</v>
          </cell>
        </row>
        <row r="2787">
          <cell r="A2787" t="str">
            <v>RND-ESP32-S3-WROOM-1</v>
          </cell>
          <cell r="B2787" t="str">
            <v>SMD MODULE, ESP32-S3R8 WITH 8 MB</v>
          </cell>
          <cell r="E2787">
            <v>76</v>
          </cell>
          <cell r="G2787">
            <v>0</v>
          </cell>
        </row>
        <row r="2788">
          <cell r="A2788" t="str">
            <v>RND-EZA-EG2A50AX</v>
          </cell>
          <cell r="B2788" t="str">
            <v>VARISTOR 0402 P13571CT-ND</v>
          </cell>
          <cell r="E2788">
            <v>5.9520499999999998</v>
          </cell>
          <cell r="G2788">
            <v>0</v>
          </cell>
        </row>
        <row r="2789">
          <cell r="A2789" t="str">
            <v>RND-FARADY-4-BUTTON</v>
          </cell>
          <cell r="B2789" t="str">
            <v>FARADY 4 BUTTON PCB ASSEMBLY</v>
          </cell>
          <cell r="E2789">
            <v>0</v>
          </cell>
          <cell r="G2789">
            <v>0</v>
          </cell>
        </row>
        <row r="2790">
          <cell r="A2790" t="str">
            <v>RND-FBMJ1608HS280NTR</v>
          </cell>
          <cell r="B2790" t="str">
            <v>FERRITE BEAD 28 OHM 0603 1LN 587-3254-1-ND</v>
          </cell>
          <cell r="E2790">
            <v>2.3340900000000002</v>
          </cell>
          <cell r="G2790">
            <v>0</v>
          </cell>
        </row>
        <row r="2791">
          <cell r="A2791" t="str">
            <v>RND-FC-12M 32.7680KA</v>
          </cell>
          <cell r="B2791" t="str">
            <v>CRYSTAL 32.7680KHZ 5PF SMD</v>
          </cell>
          <cell r="E2791">
            <v>28.2</v>
          </cell>
          <cell r="G2791">
            <v>0</v>
          </cell>
        </row>
        <row r="2792">
          <cell r="A2792" t="str">
            <v>RND-FLASH-16GB</v>
          </cell>
          <cell r="B2792" t="str">
            <v>SANDISK 16GB CRUZER BLADE</v>
          </cell>
          <cell r="E2792">
            <v>52.8</v>
          </cell>
          <cell r="G2792">
            <v>0</v>
          </cell>
        </row>
        <row r="2793">
          <cell r="A2793" t="str">
            <v>RND-FLEXIBLE-BUSBAR</v>
          </cell>
          <cell r="B2793" t="str">
            <v>FLEXIBLE BUSBAR</v>
          </cell>
          <cell r="E2793">
            <v>49.290849999999999</v>
          </cell>
          <cell r="G2793">
            <v>0</v>
          </cell>
        </row>
        <row r="2794">
          <cell r="A2794" t="str">
            <v>RND-FRONT-FACE-V3</v>
          </cell>
          <cell r="B2794" t="str">
            <v>FRONT FACE V3</v>
          </cell>
          <cell r="E2794">
            <v>96</v>
          </cell>
          <cell r="G2794">
            <v>0</v>
          </cell>
        </row>
        <row r="2795">
          <cell r="A2795" t="str">
            <v>RND-GALV-PLATE-ENDS</v>
          </cell>
          <cell r="B2795" t="str">
            <v>GALVANIZED PLATE ENDS</v>
          </cell>
          <cell r="E2795">
            <v>45.686500000000002</v>
          </cell>
          <cell r="G2795">
            <v>0</v>
          </cell>
        </row>
        <row r="2796">
          <cell r="A2796" t="str">
            <v>RND-GL-1200</v>
          </cell>
          <cell r="B2796" t="str">
            <v>GL-1200 1200W 1152WH PURE SINE FAST CHARGING UPS FUNCTION PARALLEL FUNCTION</v>
          </cell>
          <cell r="E2796">
            <v>17718.43333</v>
          </cell>
          <cell r="G2796">
            <v>0</v>
          </cell>
        </row>
        <row r="2797">
          <cell r="A2797" t="str">
            <v>RND-GL-2400</v>
          </cell>
          <cell r="B2797" t="str">
            <v>GL-2400 RATED POWER 2400W, 2060.8WH, 51.2V/40AH, PURE SINE WAVE, LFP,UPS FUNCTION</v>
          </cell>
          <cell r="E2797">
            <v>26875.056670000002</v>
          </cell>
          <cell r="G2797">
            <v>0</v>
          </cell>
        </row>
        <row r="2798">
          <cell r="A2798" t="str">
            <v>RND-GLAND-PLATE</v>
          </cell>
          <cell r="B2798" t="str">
            <v>GLAND PLATE</v>
          </cell>
          <cell r="E2798">
            <v>87.98</v>
          </cell>
          <cell r="G2798">
            <v>0</v>
          </cell>
        </row>
        <row r="2799">
          <cell r="A2799" t="str">
            <v>RND-GRM155R70J105KA1</v>
          </cell>
          <cell r="B2799" t="str">
            <v>CAP CER 1UF 6.3V X7R 0402</v>
          </cell>
          <cell r="E2799">
            <v>2.2200000000000002</v>
          </cell>
          <cell r="G2799">
            <v>0</v>
          </cell>
        </row>
        <row r="2800">
          <cell r="A2800" t="str">
            <v>RND-GRM188R61C475KE1</v>
          </cell>
          <cell r="B2800" t="str">
            <v>CAP CER 4.7UF 16V X5R 0603</v>
          </cell>
          <cell r="E2800">
            <v>3.7</v>
          </cell>
          <cell r="G2800">
            <v>0</v>
          </cell>
        </row>
        <row r="2801">
          <cell r="A2801" t="str">
            <v>RND-GRM188R61E475KE1</v>
          </cell>
          <cell r="B2801" t="str">
            <v>4.7µF ±10% 25V CERAMIC CAPACITOR X5R 0603</v>
          </cell>
          <cell r="E2801">
            <v>3.9518200000000001</v>
          </cell>
          <cell r="G2801">
            <v>0</v>
          </cell>
        </row>
        <row r="2802">
          <cell r="A2802" t="str">
            <v>RND-GRM188R71A225KE1</v>
          </cell>
          <cell r="B2802" t="str">
            <v>CAP CER 2.2UF 10V X7R 0603 490-4520-1-ND</v>
          </cell>
          <cell r="E2802">
            <v>2.1809099999999999</v>
          </cell>
          <cell r="G2802">
            <v>0</v>
          </cell>
        </row>
        <row r="2803">
          <cell r="A2803" t="str">
            <v>RND-H11L1SR2M</v>
          </cell>
          <cell r="B2803" t="str">
            <v>OPTOISO 4.17KV OPN COLL 6SMD</v>
          </cell>
          <cell r="E2803">
            <v>14.23</v>
          </cell>
          <cell r="G2803">
            <v>0</v>
          </cell>
        </row>
        <row r="2804">
          <cell r="A2804" t="str">
            <v>RND-HCA001-01</v>
          </cell>
          <cell r="B2804" t="str">
            <v>AF 205-40-00-13 #100-250V</v>
          </cell>
          <cell r="E2804">
            <v>8789</v>
          </cell>
          <cell r="G2804">
            <v>0</v>
          </cell>
        </row>
        <row r="2805">
          <cell r="A2805" t="str">
            <v>RND-HCA001-02</v>
          </cell>
          <cell r="B2805" t="str">
            <v>AF 370-40-00-13 #100-250V</v>
          </cell>
          <cell r="E2805">
            <v>12829</v>
          </cell>
          <cell r="G2805">
            <v>0</v>
          </cell>
        </row>
        <row r="2806">
          <cell r="A2806" t="str">
            <v>RND-HCA001-03</v>
          </cell>
          <cell r="B2806" t="str">
            <v>EK550-40-11 220-230V</v>
          </cell>
          <cell r="E2806">
            <v>23681</v>
          </cell>
          <cell r="G2806">
            <v>0</v>
          </cell>
        </row>
        <row r="2807">
          <cell r="A2807" t="str">
            <v>RND-HCA001-04</v>
          </cell>
          <cell r="B2807" t="str">
            <v>AUXILIRY CONTACT BLOCK CAL19-11</v>
          </cell>
          <cell r="E2807">
            <v>129.74</v>
          </cell>
          <cell r="G2807">
            <v>0</v>
          </cell>
        </row>
        <row r="2808">
          <cell r="A2808" t="str">
            <v>RND-HCA001-05</v>
          </cell>
          <cell r="B2808" t="str">
            <v>AUXILIRY CONTACT BLOCK CAL16-11B</v>
          </cell>
          <cell r="E2808">
            <v>159</v>
          </cell>
          <cell r="G2808">
            <v>0</v>
          </cell>
        </row>
        <row r="2809">
          <cell r="A2809" t="str">
            <v>RND-HCA002-01</v>
          </cell>
          <cell r="B2809" t="str">
            <v>LPC BL6644, ILLUM MUSHRM HEAD LATCH-TWIST REL</v>
          </cell>
          <cell r="E2809">
            <v>480.7</v>
          </cell>
          <cell r="G2809">
            <v>0</v>
          </cell>
        </row>
        <row r="2810">
          <cell r="A2810" t="str">
            <v>RND-HCA003-01</v>
          </cell>
          <cell r="B2810" t="str">
            <v>VE106L, 6 WAY IP65 SURFACE MOUNT DB</v>
          </cell>
          <cell r="E2810">
            <v>327.25</v>
          </cell>
          <cell r="G2810">
            <v>0</v>
          </cell>
        </row>
        <row r="2811">
          <cell r="A2811" t="str">
            <v>RND-HCJ0805ZT0R00</v>
          </cell>
          <cell r="B2811" t="str">
            <v>RES 0 OHM JUMPER 1/2W 0805</v>
          </cell>
          <cell r="E2811">
            <v>9.19</v>
          </cell>
          <cell r="G2811">
            <v>0</v>
          </cell>
        </row>
        <row r="2812">
          <cell r="A2812" t="str">
            <v>RND-HIGH-PRESS-BOX</v>
          </cell>
          <cell r="B2812" t="str">
            <v>HIGH PRESSURE BOX (100A INCLUDING CB, FUSES, CONTACTORS, SWITCHING PSU, HOULE, BOX AND BUSBAR</v>
          </cell>
          <cell r="E2812">
            <v>9785.83</v>
          </cell>
          <cell r="G2812">
            <v>0</v>
          </cell>
        </row>
        <row r="2813">
          <cell r="A2813" t="str">
            <v>RND-HVM-001</v>
          </cell>
          <cell r="B2813" t="str">
            <v>ESP32-S2-DEVKITC-1-N8R2</v>
          </cell>
          <cell r="E2813">
            <v>166.4</v>
          </cell>
          <cell r="G2813">
            <v>25</v>
          </cell>
        </row>
        <row r="2814">
          <cell r="A2814" t="str">
            <v>RND-HVM002-01</v>
          </cell>
          <cell r="B2814" t="str">
            <v>TEMPERATURE PROBE 2m 5V -55-DEG TO 125- DEG</v>
          </cell>
          <cell r="E2814">
            <v>55.73</v>
          </cell>
          <cell r="G2814">
            <v>0</v>
          </cell>
        </row>
        <row r="2815">
          <cell r="A2815" t="str">
            <v>RND-HVM006-01</v>
          </cell>
          <cell r="B2815" t="str">
            <v>15M5435, SPRING DIN RAIL MOUNT TERMINAL BLOCK</v>
          </cell>
          <cell r="E2815">
            <v>0</v>
          </cell>
          <cell r="G2815">
            <v>0</v>
          </cell>
        </row>
        <row r="2816">
          <cell r="A2816" t="str">
            <v>RND-HWPHPBSUNDB</v>
          </cell>
          <cell r="B2816" t="str">
            <v>SUNLU FILADRYER S1 - FILAMENT STORAGE &amp; DRYING BOX</v>
          </cell>
          <cell r="E2816">
            <v>0</v>
          </cell>
          <cell r="G2816">
            <v>0</v>
          </cell>
        </row>
        <row r="2817">
          <cell r="A2817" t="str">
            <v>RND-HWPPEL1.75N</v>
          </cell>
          <cell r="B2817" t="str">
            <v>ESUN ELASTIC TPE FILAMENT - 1.75MM NATURAL</v>
          </cell>
          <cell r="E2817">
            <v>0</v>
          </cell>
          <cell r="G2817">
            <v>0</v>
          </cell>
        </row>
        <row r="2818">
          <cell r="A2818" t="str">
            <v>RND-HWPPPLA1.75B BLT</v>
          </cell>
          <cell r="B2818" t="str">
            <v>ESUN PLA+ FILAMENT - 1.75MM LIGHT BLUE</v>
          </cell>
          <cell r="E2818">
            <v>0</v>
          </cell>
          <cell r="G2818">
            <v>0</v>
          </cell>
        </row>
        <row r="2819">
          <cell r="A2819" t="str">
            <v>RND-HWPPPLA1.75B L</v>
          </cell>
          <cell r="B2819" t="str">
            <v>ESUN PLA+ FILAMENT - 1.75MM BLACK</v>
          </cell>
          <cell r="E2819">
            <v>0</v>
          </cell>
          <cell r="G2819">
            <v>0</v>
          </cell>
        </row>
        <row r="2820">
          <cell r="A2820" t="str">
            <v>RND-HWPPPLA1.75G GGN</v>
          </cell>
          <cell r="B2820" t="str">
            <v>ESUN PLA+ FILAMENT - 1.75MM PINE GREEN</v>
          </cell>
          <cell r="E2820">
            <v>0</v>
          </cell>
          <cell r="G2820">
            <v>0</v>
          </cell>
        </row>
        <row r="2821">
          <cell r="A2821" t="str">
            <v>RND-HWPPPLA1.75O S</v>
          </cell>
          <cell r="B2821" t="str">
            <v>ESUN PLA+ FILAMENT - 1.75MM ORANGE</v>
          </cell>
          <cell r="E2821">
            <v>0</v>
          </cell>
          <cell r="G2821">
            <v>0</v>
          </cell>
        </row>
        <row r="2822">
          <cell r="A2822" t="str">
            <v>RND-IG30</v>
          </cell>
          <cell r="B2822" t="str">
            <v>30KVA PV INVERTER</v>
          </cell>
          <cell r="E2822">
            <v>43592.45</v>
          </cell>
          <cell r="G2822">
            <v>0</v>
          </cell>
        </row>
        <row r="2823">
          <cell r="A2823" t="str">
            <v>RND-IHLP2525CZER1R0M</v>
          </cell>
          <cell r="B2823" t="str">
            <v>FIXED IND 1UH 11A 10 MOHM SMD</v>
          </cell>
          <cell r="E2823">
            <v>24.36</v>
          </cell>
          <cell r="G2823">
            <v>0</v>
          </cell>
        </row>
        <row r="2824">
          <cell r="A2824" t="str">
            <v>RND-IHLP3232DZER2R2M</v>
          </cell>
          <cell r="B2824" t="str">
            <v>FIXED IND 2.2UH 14.5A 9.41 MOHM</v>
          </cell>
          <cell r="E2824">
            <v>28.12</v>
          </cell>
          <cell r="G2824">
            <v>0</v>
          </cell>
        </row>
        <row r="2825">
          <cell r="A2825" t="str">
            <v>RND-INV-ATESS-HPS150</v>
          </cell>
          <cell r="B2825" t="str">
            <v>ATESS HPS150 HYBRID INVERTER 150KW</v>
          </cell>
          <cell r="E2825">
            <v>364170.55</v>
          </cell>
          <cell r="G2825">
            <v>0</v>
          </cell>
        </row>
        <row r="2826">
          <cell r="A2826" t="str">
            <v>RND-INVERTER-CHARGER</v>
          </cell>
          <cell r="B2826" t="str">
            <v>BELTTT 2V 1000W INVERTER CHARGER</v>
          </cell>
          <cell r="E2826">
            <v>1826.92</v>
          </cell>
          <cell r="G2826">
            <v>0</v>
          </cell>
        </row>
        <row r="2827">
          <cell r="A2827" t="str">
            <v>RND-IRM-20-5</v>
          </cell>
          <cell r="B2827" t="str">
            <v>AC/DC CONVERTER 5V 20W</v>
          </cell>
          <cell r="E2827">
            <v>282.39999999999998</v>
          </cell>
          <cell r="G2827">
            <v>0</v>
          </cell>
        </row>
        <row r="2828">
          <cell r="A2828" t="str">
            <v>RND-IRON-HOT-AIR-24V</v>
          </cell>
          <cell r="B2828" t="str">
            <v>IRON HOT AIR 24V 80W SM3004</v>
          </cell>
          <cell r="E2828">
            <v>0</v>
          </cell>
          <cell r="G2828">
            <v>0</v>
          </cell>
        </row>
        <row r="2829">
          <cell r="A2829" t="str">
            <v>RND-ISOLATOR-BRACK-1</v>
          </cell>
          <cell r="B2829" t="str">
            <v>BATTERY ISOLATOR BRACKET V1</v>
          </cell>
          <cell r="E2829">
            <v>21.15</v>
          </cell>
          <cell r="G2829">
            <v>0</v>
          </cell>
        </row>
        <row r="2830">
          <cell r="A2830" t="str">
            <v>RND-ISOLATOR-BRACK-2</v>
          </cell>
          <cell r="B2830" t="str">
            <v>ISOLATOR BRACKET V2</v>
          </cell>
          <cell r="E2830">
            <v>21.15</v>
          </cell>
          <cell r="G2830">
            <v>0</v>
          </cell>
        </row>
        <row r="2831">
          <cell r="A2831" t="str">
            <v>RND-ISOLATOR-BRACK-3</v>
          </cell>
          <cell r="B2831" t="str">
            <v>ISOLATOR BRACKET V3</v>
          </cell>
          <cell r="E2831">
            <v>30.76</v>
          </cell>
          <cell r="G2831">
            <v>0</v>
          </cell>
        </row>
        <row r="2832">
          <cell r="A2832" t="str">
            <v>RND-JB001-01</v>
          </cell>
          <cell r="B2832" t="str">
            <v>72M3409-A4, PLUGTOP DEDICATED 16A 250V RED</v>
          </cell>
          <cell r="E2832">
            <v>25.013999999999999</v>
          </cell>
          <cell r="G2832">
            <v>0</v>
          </cell>
        </row>
        <row r="2833">
          <cell r="A2833" t="str">
            <v>RND-JB001-02</v>
          </cell>
          <cell r="B2833" t="str">
            <v>72M1578, GLUE STICK 10x300mm- 33-pcs per Kg</v>
          </cell>
          <cell r="E2833">
            <v>250.32</v>
          </cell>
          <cell r="G2833">
            <v>0</v>
          </cell>
        </row>
        <row r="2834">
          <cell r="A2834" t="str">
            <v>RND-JB001-03</v>
          </cell>
          <cell r="B2834" t="str">
            <v>90M0195, ETHANOL 95% IN 1L CONTAINER</v>
          </cell>
          <cell r="E2834">
            <v>155.22667000000001</v>
          </cell>
          <cell r="G2834">
            <v>0</v>
          </cell>
        </row>
        <row r="2835">
          <cell r="A2835" t="str">
            <v>RND-JB001-04</v>
          </cell>
          <cell r="B2835" t="str">
            <v>14M7172, HRC FUSE CERAMIC ROUND 10x38 11A 1000V</v>
          </cell>
          <cell r="E2835">
            <v>200.3</v>
          </cell>
          <cell r="G2835">
            <v>0</v>
          </cell>
        </row>
        <row r="2836">
          <cell r="A2836" t="str">
            <v>RND-JB001-05</v>
          </cell>
          <cell r="B2836" t="str">
            <v>330M2599, METER CLAMP 600A DCA/ACA, 600V, TRUE RMS, Freq,</v>
          </cell>
          <cell r="E2836">
            <v>1964.63</v>
          </cell>
          <cell r="G2836">
            <v>0</v>
          </cell>
        </row>
        <row r="2837">
          <cell r="A2837" t="str">
            <v>RND-JB001-06</v>
          </cell>
          <cell r="B2837" t="str">
            <v>330M0150, MULTIPLUG ADAPTER EXTENSION 5x15A 4x5A(EU) L=3mx1.5mm2</v>
          </cell>
          <cell r="E2837">
            <v>270.56</v>
          </cell>
          <cell r="G2837">
            <v>0</v>
          </cell>
        </row>
        <row r="2838">
          <cell r="A2838" t="str">
            <v>RND-JB002-01</v>
          </cell>
          <cell r="B2838" t="str">
            <v>Creality 3D Printing Filament PETG Grey 1.75mm</v>
          </cell>
          <cell r="E2838">
            <v>317.39</v>
          </cell>
          <cell r="G2838">
            <v>0</v>
          </cell>
        </row>
        <row r="2839">
          <cell r="A2839" t="str">
            <v>RND-JB002-02</v>
          </cell>
          <cell r="B2839" t="str">
            <v>Creality 3D Printing Filament PETG Transparent 1.75mm</v>
          </cell>
          <cell r="E2839">
            <v>317.39</v>
          </cell>
          <cell r="G2839">
            <v>0</v>
          </cell>
        </row>
        <row r="2840">
          <cell r="A2840" t="str">
            <v>RND-JB002-03</v>
          </cell>
          <cell r="B2840" t="str">
            <v>Creality 3D Printing Filament PETG White 1.75mm</v>
          </cell>
          <cell r="E2840">
            <v>317.39</v>
          </cell>
          <cell r="G2840">
            <v>0</v>
          </cell>
        </row>
        <row r="2841">
          <cell r="A2841" t="str">
            <v>RND-JB002-04</v>
          </cell>
          <cell r="B2841" t="str">
            <v>Creality 3D Printing Filament PETG Black 1.75mm</v>
          </cell>
          <cell r="E2841">
            <v>317.39</v>
          </cell>
          <cell r="G2841">
            <v>0</v>
          </cell>
        </row>
        <row r="2842">
          <cell r="A2842" t="str">
            <v>RND-JB002-05</v>
          </cell>
          <cell r="B2842" t="str">
            <v>ZEN 3D Printing Filament PLA Ultra Ice Blue 1.75mm</v>
          </cell>
          <cell r="E2842">
            <v>320.87</v>
          </cell>
          <cell r="G2842">
            <v>0</v>
          </cell>
        </row>
        <row r="2843">
          <cell r="A2843" t="str">
            <v>RND-JB002-06</v>
          </cell>
          <cell r="B2843" t="str">
            <v>ZEN 3D Printing Filament PLA Ultra Gunmetal Grey 1.75mm</v>
          </cell>
          <cell r="E2843">
            <v>320.87</v>
          </cell>
          <cell r="G2843">
            <v>0</v>
          </cell>
        </row>
        <row r="2844">
          <cell r="A2844" t="str">
            <v>RND-JB002-07</v>
          </cell>
          <cell r="B2844" t="str">
            <v>ZEN 3D Printing Filament PLA Ultra Arctic White 1.75mm</v>
          </cell>
          <cell r="E2844">
            <v>320.87</v>
          </cell>
          <cell r="G2844">
            <v>0</v>
          </cell>
        </row>
        <row r="2845">
          <cell r="A2845" t="str">
            <v>RND-JB002-08</v>
          </cell>
          <cell r="B2845" t="str">
            <v>ZEN 3D Printing Filament PLA Ultra Onyx Black 1.75mm</v>
          </cell>
          <cell r="E2845">
            <v>320.87</v>
          </cell>
          <cell r="G2845">
            <v>0</v>
          </cell>
        </row>
        <row r="2846">
          <cell r="A2846" t="str">
            <v>RND-JB003-01</v>
          </cell>
          <cell r="B2846" t="str">
            <v>ESP32-C6-N16_ESP32 C6 Dev Board Wifi 6 Flash 16MB</v>
          </cell>
          <cell r="E2846">
            <v>168.97</v>
          </cell>
          <cell r="G2846">
            <v>0</v>
          </cell>
        </row>
        <row r="2847">
          <cell r="A2847" t="str">
            <v>RND-JB003-02</v>
          </cell>
          <cell r="B2847" t="str">
            <v>18B20-1M_ Digital Temperature Sensor, 1m cable</v>
          </cell>
          <cell r="E2847">
            <v>24.97</v>
          </cell>
          <cell r="G2847">
            <v>0</v>
          </cell>
        </row>
        <row r="2848">
          <cell r="A2848" t="str">
            <v>RND-JB003-03</v>
          </cell>
          <cell r="B2848" t="str">
            <v>RS485-3P_USB to RS485 - 3 Pin</v>
          </cell>
          <cell r="E2848">
            <v>56.97</v>
          </cell>
          <cell r="G2848">
            <v>0</v>
          </cell>
        </row>
        <row r="2849">
          <cell r="A2849" t="str">
            <v>RND-JB003-04</v>
          </cell>
          <cell r="B2849" t="str">
            <v>USB-C-4P-50CM_USB C Connector + Pigtail Cable 4 Wire - 50cm</v>
          </cell>
          <cell r="E2849">
            <v>18.97</v>
          </cell>
          <cell r="G2849">
            <v>0</v>
          </cell>
        </row>
        <row r="2850">
          <cell r="A2850" t="str">
            <v>RND-JB003-05</v>
          </cell>
          <cell r="B2850" t="str">
            <v>W4738_RS485 Breakout Module 5.0V</v>
          </cell>
          <cell r="E2850">
            <v>59.97</v>
          </cell>
          <cell r="G2850">
            <v>0</v>
          </cell>
        </row>
        <row r="2851">
          <cell r="A2851" t="str">
            <v>RND-JB003-06</v>
          </cell>
          <cell r="B2851" t="str">
            <v>LEDH-05-CONC_LED Holder 5mm Concave (4 Pack)</v>
          </cell>
          <cell r="E2851">
            <v>24.97</v>
          </cell>
          <cell r="G2851">
            <v>0</v>
          </cell>
        </row>
        <row r="2852">
          <cell r="A2852" t="str">
            <v>RND-JB003-07</v>
          </cell>
          <cell r="B2852" t="str">
            <v>RG5-10-A_LED 5mm Bi-Color R/G (10 Pack)</v>
          </cell>
          <cell r="E2852">
            <v>8.9700000000000006</v>
          </cell>
          <cell r="G2852">
            <v>0</v>
          </cell>
        </row>
        <row r="2853">
          <cell r="A2853" t="str">
            <v>RND-JB003-08</v>
          </cell>
          <cell r="B2853" t="str">
            <v>LED-05-BWC_LED Bright White Clear 5mm (25 Pack)</v>
          </cell>
          <cell r="E2853">
            <v>10.97</v>
          </cell>
          <cell r="G2853">
            <v>0</v>
          </cell>
        </row>
        <row r="2854">
          <cell r="A2854" t="str">
            <v>RND-JB003-09</v>
          </cell>
          <cell r="B2854" t="str">
            <v>PROTO-0510-254_Protoboard 50 x 100mm, Pitch 2.54mm (4 Pack)</v>
          </cell>
          <cell r="E2854">
            <v>42.97</v>
          </cell>
          <cell r="G2854">
            <v>0</v>
          </cell>
        </row>
        <row r="2855">
          <cell r="A2855" t="str">
            <v>RND-JB003-10</v>
          </cell>
          <cell r="B2855" t="str">
            <v>JST-XH-STKIT560_JST-XH 2.54mm Connector Kit - Straight (560 Pieces)</v>
          </cell>
          <cell r="E2855">
            <v>89.97</v>
          </cell>
          <cell r="G2855">
            <v>0</v>
          </cell>
        </row>
        <row r="2856">
          <cell r="A2856" t="str">
            <v>RND-JB003-11</v>
          </cell>
          <cell r="B2856" t="str">
            <v>JST-SM-2P-KIT_JST-SM 2.5mm 2PIN Connector Kit, 32 Items</v>
          </cell>
          <cell r="E2856">
            <v>18.97</v>
          </cell>
          <cell r="G2856">
            <v>0</v>
          </cell>
        </row>
        <row r="2857">
          <cell r="A2857" t="str">
            <v>RND-JB004-01</v>
          </cell>
          <cell r="B2857" t="str">
            <v>15C8714_PSU D/R SLIM I=220VAC O=5VDC 2.4A</v>
          </cell>
          <cell r="E2857">
            <v>296</v>
          </cell>
          <cell r="G2857">
            <v>0</v>
          </cell>
        </row>
        <row r="2858">
          <cell r="A2858" t="str">
            <v>RND-JB005-01</v>
          </cell>
          <cell r="B2858" t="str">
            <v xml:space="preserve">GEY-GEY013_Geyserwise Electronic Thermostat - Standard probe </v>
          </cell>
          <cell r="E2858">
            <v>0</v>
          </cell>
          <cell r="G2858">
            <v>0</v>
          </cell>
        </row>
        <row r="2859">
          <cell r="A2859" t="str">
            <v>RND-JK001-01</v>
          </cell>
          <cell r="B2859" t="str">
            <v>Box for jesse - Metal enclosure</v>
          </cell>
          <cell r="E2859">
            <v>0</v>
          </cell>
          <cell r="G2859">
            <v>0</v>
          </cell>
        </row>
        <row r="2860">
          <cell r="A2860" t="str">
            <v>RND-KB263C</v>
          </cell>
          <cell r="B2860" t="str">
            <v>2P INSULATED BUSBAR FOR MCBS</v>
          </cell>
          <cell r="E2860">
            <v>287.77999999999997</v>
          </cell>
          <cell r="G2860">
            <v>0</v>
          </cell>
        </row>
        <row r="2861">
          <cell r="A2861" t="str">
            <v>RND-LBW001-01</v>
          </cell>
          <cell r="B2861" t="str">
            <v>63A 2P+E IP67 FLUSH APPLI. INLET x3</v>
          </cell>
          <cell r="E2861">
            <v>315.5</v>
          </cell>
          <cell r="G2861">
            <v>0</v>
          </cell>
        </row>
        <row r="2862">
          <cell r="A2862" t="str">
            <v>RND-LBW001-02</v>
          </cell>
          <cell r="B2862" t="str">
            <v>63A 2P+E IP67 MALE PLUG x9</v>
          </cell>
          <cell r="E2862">
            <v>477.87</v>
          </cell>
          <cell r="G2862">
            <v>0</v>
          </cell>
        </row>
        <row r="2863">
          <cell r="A2863" t="str">
            <v>RND-LBW001-03</v>
          </cell>
          <cell r="B2863" t="str">
            <v>63A 2P+E IP67 COUPLER x9</v>
          </cell>
          <cell r="E2863">
            <v>547.83000000000004</v>
          </cell>
          <cell r="G2863">
            <v>0</v>
          </cell>
        </row>
        <row r="2864">
          <cell r="A2864" t="str">
            <v>RND-LBW001-04</v>
          </cell>
          <cell r="B2864" t="str">
            <v>63A 2P+E IP67 FLUSH ANGLED SOCKET x3</v>
          </cell>
          <cell r="E2864">
            <v>489.75</v>
          </cell>
          <cell r="G2864">
            <v>0</v>
          </cell>
        </row>
        <row r="2865">
          <cell r="A2865" t="str">
            <v>RND-LBW001-05</v>
          </cell>
          <cell r="B2865" t="str">
            <v>63A 2P+E IP67 SURFACE SOCKET x3</v>
          </cell>
          <cell r="E2865">
            <v>690.84333000000004</v>
          </cell>
          <cell r="G2865">
            <v>0</v>
          </cell>
        </row>
        <row r="2866">
          <cell r="A2866" t="str">
            <v>RND-LBW001-06</v>
          </cell>
          <cell r="B2866" t="str">
            <v>125A 2P+E IP67 SURF SWITCH SOCKET x1</v>
          </cell>
          <cell r="E2866">
            <v>1630.95</v>
          </cell>
          <cell r="G2866">
            <v>0</v>
          </cell>
        </row>
        <row r="2867">
          <cell r="A2867" t="str">
            <v>RND-LBW001-07</v>
          </cell>
          <cell r="B2867" t="str">
            <v>63A 3P+N+E IP67 SURF SWTH SOCKET x2</v>
          </cell>
          <cell r="E2867">
            <v>585.30999999999995</v>
          </cell>
          <cell r="G2867">
            <v>0</v>
          </cell>
        </row>
        <row r="2868">
          <cell r="A2868" t="str">
            <v>RND-LBW001-08</v>
          </cell>
          <cell r="B2868" t="str">
            <v>63A 3P+N+E IP67 MALE PLUG x2</v>
          </cell>
          <cell r="E2868">
            <v>417.81</v>
          </cell>
          <cell r="G2868">
            <v>0</v>
          </cell>
        </row>
        <row r="2869">
          <cell r="A2869" t="str">
            <v>RND-LBW001-09</v>
          </cell>
          <cell r="B2869" t="str">
            <v>125A 2P+E IP67 MALE PLUG x1</v>
          </cell>
          <cell r="E2869">
            <v>1137.25</v>
          </cell>
          <cell r="G2869">
            <v>0</v>
          </cell>
        </row>
        <row r="2870">
          <cell r="A2870" t="str">
            <v>RND-LBW002-01</v>
          </cell>
          <cell r="B2870" t="str">
            <v>Relay Box</v>
          </cell>
          <cell r="E2870">
            <v>418.7</v>
          </cell>
          <cell r="G2870">
            <v>0</v>
          </cell>
        </row>
        <row r="2871">
          <cell r="A2871" t="str">
            <v>RND-LBW002-02</v>
          </cell>
          <cell r="B2871" t="str">
            <v>Front Plate</v>
          </cell>
          <cell r="E2871">
            <v>147.79</v>
          </cell>
          <cell r="G2871">
            <v>0</v>
          </cell>
        </row>
        <row r="2872">
          <cell r="A2872" t="str">
            <v>RND-LBW002-03</v>
          </cell>
          <cell r="B2872" t="str">
            <v>Bottom Plate</v>
          </cell>
          <cell r="E2872">
            <v>91.95</v>
          </cell>
          <cell r="G2872">
            <v>0</v>
          </cell>
        </row>
        <row r="2873">
          <cell r="A2873" t="str">
            <v>RND-LBW002-04</v>
          </cell>
          <cell r="B2873" t="str">
            <v>Support  Bracket</v>
          </cell>
          <cell r="E2873">
            <v>37.5</v>
          </cell>
          <cell r="G2873">
            <v>0</v>
          </cell>
        </row>
        <row r="2874">
          <cell r="A2874" t="str">
            <v>RND-LBW003-01</v>
          </cell>
          <cell r="B2874" t="str">
            <v>Shifting Spanner</v>
          </cell>
          <cell r="E2874">
            <v>143.47999999999999</v>
          </cell>
          <cell r="G2874">
            <v>0</v>
          </cell>
        </row>
        <row r="2875">
          <cell r="A2875" t="str">
            <v>RND-LBW004-01</v>
          </cell>
          <cell r="B2875" t="str">
            <v>Lug Crimper</v>
          </cell>
          <cell r="E2875">
            <v>170.22</v>
          </cell>
          <cell r="G2875">
            <v>0</v>
          </cell>
        </row>
        <row r="2876">
          <cell r="A2876" t="str">
            <v>RND-LBW004-02</v>
          </cell>
          <cell r="B2876" t="str">
            <v>Telescopic Magnet</v>
          </cell>
          <cell r="E2876">
            <v>77.33</v>
          </cell>
          <cell r="G2876">
            <v>0</v>
          </cell>
        </row>
        <row r="2877">
          <cell r="A2877" t="str">
            <v>RND-LBW004-03</v>
          </cell>
          <cell r="B2877" t="str">
            <v>Allen Keys</v>
          </cell>
          <cell r="E2877">
            <v>142.5</v>
          </cell>
          <cell r="G2877">
            <v>0</v>
          </cell>
        </row>
        <row r="2878">
          <cell r="A2878" t="str">
            <v>RND-LBW005-01</v>
          </cell>
          <cell r="B2878" t="str">
            <v>16mm² x 3core HO7 RN-F Rubber Trailing Cable (40m)</v>
          </cell>
          <cell r="E2878">
            <v>168</v>
          </cell>
          <cell r="G2878">
            <v>0</v>
          </cell>
        </row>
        <row r="2879">
          <cell r="A2879" t="str">
            <v>RND-LBW005-02</v>
          </cell>
          <cell r="B2879" t="str">
            <v>16mm² x 5core HO7 RN-F Rubber Trailing Cable (15m)</v>
          </cell>
          <cell r="E2879">
            <v>303</v>
          </cell>
          <cell r="G2879">
            <v>0</v>
          </cell>
        </row>
        <row r="2880">
          <cell r="A2880" t="str">
            <v>RND-LBW006-01</v>
          </cell>
          <cell r="B2880" t="str">
            <v>RS485-3P_USB to RS485 - 3 Pin</v>
          </cell>
          <cell r="E2880">
            <v>0</v>
          </cell>
          <cell r="G2880">
            <v>0</v>
          </cell>
        </row>
        <row r="2881">
          <cell r="A2881" t="str">
            <v>RND-LBW006-02</v>
          </cell>
          <cell r="B2881" t="str">
            <v>RIB-COMBO-20_Ribbon Cable Combo M-M, M-F, F-F 20cm</v>
          </cell>
          <cell r="E2881">
            <v>0</v>
          </cell>
          <cell r="G2881">
            <v>0</v>
          </cell>
        </row>
        <row r="2882">
          <cell r="A2882" t="str">
            <v>RND-LBW006-03</v>
          </cell>
          <cell r="B2882" t="str">
            <v xml:space="preserve">ALIGATOR-50_Test Leads Multicoloured (10 pack) </v>
          </cell>
          <cell r="E2882">
            <v>0</v>
          </cell>
          <cell r="G2882">
            <v>0</v>
          </cell>
        </row>
        <row r="2883">
          <cell r="A2883" t="str">
            <v>RND-LBW006-04</v>
          </cell>
          <cell r="B2883" t="str">
            <v xml:space="preserve">USBAB-15_USB Cable AB 1.5m </v>
          </cell>
          <cell r="E2883">
            <v>0</v>
          </cell>
          <cell r="G2883">
            <v>0</v>
          </cell>
        </row>
        <row r="2884">
          <cell r="A2884" t="str">
            <v>RND-LBW031-02</v>
          </cell>
          <cell r="B2884" t="str">
            <v>Spanner Set</v>
          </cell>
          <cell r="E2884">
            <v>952.17</v>
          </cell>
          <cell r="G2884">
            <v>0</v>
          </cell>
        </row>
        <row r="2885">
          <cell r="A2885" t="str">
            <v>RND-LBW031-03</v>
          </cell>
          <cell r="B2885" t="str">
            <v>Socket Set</v>
          </cell>
          <cell r="E2885">
            <v>430.43</v>
          </cell>
          <cell r="G2885">
            <v>0</v>
          </cell>
        </row>
        <row r="2886">
          <cell r="A2886" t="str">
            <v>RND-LBW031-04</v>
          </cell>
          <cell r="B2886" t="str">
            <v>Hacksaw Handle</v>
          </cell>
          <cell r="E2886">
            <v>126.09</v>
          </cell>
          <cell r="G2886">
            <v>0</v>
          </cell>
        </row>
        <row r="2887">
          <cell r="A2887" t="str">
            <v>RND-LBW031-05</v>
          </cell>
          <cell r="B2887" t="str">
            <v>Needle File Set</v>
          </cell>
          <cell r="E2887">
            <v>117.39</v>
          </cell>
          <cell r="G2887">
            <v>0</v>
          </cell>
        </row>
        <row r="2888">
          <cell r="A2888" t="str">
            <v>RND-LBW031-06</v>
          </cell>
          <cell r="B2888" t="str">
            <v>Bastard File</v>
          </cell>
          <cell r="E2888">
            <v>52.17</v>
          </cell>
          <cell r="G2888">
            <v>0</v>
          </cell>
        </row>
        <row r="2889">
          <cell r="A2889" t="str">
            <v>RND-LBW031-07</v>
          </cell>
          <cell r="B2889" t="str">
            <v>Electrician Screw Driver Set 1</v>
          </cell>
          <cell r="E2889">
            <v>326.08999999999997</v>
          </cell>
          <cell r="G2889">
            <v>0</v>
          </cell>
        </row>
        <row r="2890">
          <cell r="A2890" t="str">
            <v>RND-LBW031-08</v>
          </cell>
          <cell r="B2890" t="str">
            <v>Electrician Screw Driver Set 2</v>
          </cell>
          <cell r="E2890">
            <v>204.35</v>
          </cell>
          <cell r="G2890">
            <v>0</v>
          </cell>
        </row>
        <row r="2891">
          <cell r="A2891" t="str">
            <v>RND-LBW031-09</v>
          </cell>
          <cell r="B2891" t="str">
            <v>Q20 Lubrication</v>
          </cell>
          <cell r="E2891">
            <v>60.87</v>
          </cell>
          <cell r="G2891">
            <v>0</v>
          </cell>
        </row>
        <row r="2892">
          <cell r="A2892" t="str">
            <v>RND-LBW031-10</v>
          </cell>
          <cell r="B2892" t="str">
            <v>Dremel kit</v>
          </cell>
          <cell r="E2892">
            <v>221.74</v>
          </cell>
          <cell r="G2892">
            <v>0</v>
          </cell>
        </row>
        <row r="2893">
          <cell r="A2893" t="str">
            <v>RND-LBW031-11</v>
          </cell>
          <cell r="B2893" t="str">
            <v>Sand Paper(60 Grid)</v>
          </cell>
          <cell r="E2893">
            <v>47.83</v>
          </cell>
          <cell r="G2893">
            <v>0</v>
          </cell>
        </row>
        <row r="2894">
          <cell r="A2894" t="str">
            <v>RND-LBW031-12</v>
          </cell>
          <cell r="B2894" t="str">
            <v>Sand Paper(120 Grid)</v>
          </cell>
          <cell r="E2894">
            <v>47.83</v>
          </cell>
          <cell r="G2894">
            <v>0</v>
          </cell>
        </row>
        <row r="2895">
          <cell r="A2895" t="str">
            <v>RND-LBW031-13</v>
          </cell>
          <cell r="B2895" t="str">
            <v>Sand Paper(220 Grid)</v>
          </cell>
          <cell r="E2895">
            <v>47.83</v>
          </cell>
          <cell r="G2895">
            <v>0</v>
          </cell>
        </row>
        <row r="2896">
          <cell r="A2896" t="str">
            <v>RND-LBW031-14</v>
          </cell>
          <cell r="B2896" t="str">
            <v>Engraver</v>
          </cell>
          <cell r="E2896">
            <v>195.65</v>
          </cell>
          <cell r="G2896">
            <v>0</v>
          </cell>
        </row>
        <row r="2897">
          <cell r="A2897" t="str">
            <v>RND-LBW031-15</v>
          </cell>
          <cell r="B2897" t="str">
            <v>Tape Measure</v>
          </cell>
          <cell r="E2897">
            <v>78.260000000000005</v>
          </cell>
          <cell r="G2897">
            <v>0</v>
          </cell>
        </row>
        <row r="2898">
          <cell r="A2898" t="str">
            <v>RND-LBW031-16</v>
          </cell>
          <cell r="B2898" t="str">
            <v>Multi Meter</v>
          </cell>
          <cell r="E2898">
            <v>821.74</v>
          </cell>
          <cell r="G2898">
            <v>0</v>
          </cell>
        </row>
        <row r="2899">
          <cell r="A2899" t="str">
            <v>RND-LFP-CELL-TESTER</v>
          </cell>
          <cell r="B2899" t="str">
            <v>LFP CELL TESTER - BATTERY PACK VOLTA 6K</v>
          </cell>
          <cell r="E2899">
            <v>184</v>
          </cell>
          <cell r="G2899">
            <v>0</v>
          </cell>
        </row>
        <row r="2900">
          <cell r="A2900" t="str">
            <v>RND-LJ12A3-4-Z-BX</v>
          </cell>
          <cell r="B2900" t="str">
            <v>INDUCTIVE SENSOR PROBE</v>
          </cell>
          <cell r="E2900">
            <v>58.95</v>
          </cell>
          <cell r="G2900">
            <v>0</v>
          </cell>
        </row>
        <row r="2901">
          <cell r="A2901" t="str">
            <v>RND-LMV331W5-7</v>
          </cell>
          <cell r="B2901" t="str">
            <v>IC COMPARATOR TINY LV SOT25</v>
          </cell>
          <cell r="E2901">
            <v>6.77</v>
          </cell>
          <cell r="G2901">
            <v>0</v>
          </cell>
        </row>
        <row r="2902">
          <cell r="A2902" t="str">
            <v>RND-LQW18AN56NG80D</v>
          </cell>
          <cell r="B2902" t="str">
            <v>FIXED IND 56NH 770MA 260MOHM SMD 490-18135-1-ND</v>
          </cell>
          <cell r="E2902">
            <v>4.4540899999999999</v>
          </cell>
          <cell r="G2902">
            <v>0</v>
          </cell>
        </row>
        <row r="2903">
          <cell r="A2903" t="str">
            <v>RND-LTST-C190GKT</v>
          </cell>
          <cell r="B2903" t="str">
            <v>LED GREEN CLEAR 0603 SMD</v>
          </cell>
          <cell r="E2903">
            <v>3.33</v>
          </cell>
          <cell r="G2903">
            <v>0</v>
          </cell>
        </row>
        <row r="2904">
          <cell r="A2904" t="str">
            <v>RND-LTST-C190KFKT</v>
          </cell>
          <cell r="B2904" t="str">
            <v>LED ORANGE CLEAR 0603 SMD</v>
          </cell>
          <cell r="E2904">
            <v>2.6818200000000001</v>
          </cell>
          <cell r="G2904">
            <v>0</v>
          </cell>
        </row>
        <row r="2905">
          <cell r="A2905" t="str">
            <v>RND-LTST-C190KRKT</v>
          </cell>
          <cell r="B2905" t="str">
            <v>LED RED CLEAR 0603 SMD</v>
          </cell>
          <cell r="E2905">
            <v>2.9040900000000001</v>
          </cell>
          <cell r="G2905">
            <v>0</v>
          </cell>
        </row>
        <row r="2906">
          <cell r="A2906" t="str">
            <v>RND-LTST-S270KFKT</v>
          </cell>
          <cell r="B2906" t="str">
            <v>LED ORANGE CLEAR SMD R/A</v>
          </cell>
          <cell r="E2906">
            <v>2.7418200000000001</v>
          </cell>
          <cell r="G2906">
            <v>0</v>
          </cell>
        </row>
        <row r="2907">
          <cell r="A2907" t="str">
            <v>RND-LTST-S270KGKT</v>
          </cell>
          <cell r="B2907" t="str">
            <v>LED GREEN CLEAR 0603 RT ANG SMD</v>
          </cell>
          <cell r="E2907">
            <v>2.9160599999999999</v>
          </cell>
          <cell r="G2907">
            <v>0</v>
          </cell>
        </row>
        <row r="2908">
          <cell r="A2908" t="str">
            <v>RND-LTST-S270KRKT</v>
          </cell>
          <cell r="B2908" t="str">
            <v>LED SUPR RED CLR 0603 RT ANG SMD</v>
          </cell>
          <cell r="E2908">
            <v>2.9040900000000001</v>
          </cell>
          <cell r="G2908">
            <v>0</v>
          </cell>
        </row>
        <row r="2909">
          <cell r="A2909" t="str">
            <v>RND-LTST-S270KSKT</v>
          </cell>
          <cell r="B2909" t="str">
            <v>LED YELLOW CLEAR 0603 RT ANG SMD</v>
          </cell>
          <cell r="E2909">
            <v>2.94</v>
          </cell>
          <cell r="G2909">
            <v>0</v>
          </cell>
        </row>
        <row r="2910">
          <cell r="A2910" t="str">
            <v>RND-LVDB001-01</v>
          </cell>
          <cell r="B2910" t="str">
            <v>33-2001820_Power Meter, Multi-Functional, 3 Phase, RS485</v>
          </cell>
          <cell r="E2910">
            <v>3315.5225</v>
          </cell>
          <cell r="G2910">
            <v>0</v>
          </cell>
        </row>
        <row r="2911">
          <cell r="A2911" t="str">
            <v>RND-MA363Z</v>
          </cell>
          <cell r="B2911" t="str">
            <v>63A 3P 6kA C-CURVE MCB</v>
          </cell>
          <cell r="E2911">
            <v>261.8</v>
          </cell>
          <cell r="G2911">
            <v>0</v>
          </cell>
        </row>
        <row r="2912">
          <cell r="A2912" t="str">
            <v>RND-MA363Z-X</v>
          </cell>
          <cell r="B2912" t="str">
            <v>63A 3P 6kA C-CURVE MCB</v>
          </cell>
          <cell r="E2912">
            <v>0</v>
          </cell>
          <cell r="G2912">
            <v>0</v>
          </cell>
        </row>
        <row r="2913">
          <cell r="A2913" t="str">
            <v>RND-MAJ-012-01</v>
          </cell>
          <cell r="B2913" t="str">
            <v>Faraday 15K Baseplate</v>
          </cell>
          <cell r="E2913">
            <v>2840</v>
          </cell>
          <cell r="G2913">
            <v>0</v>
          </cell>
        </row>
        <row r="2914">
          <cell r="A2914" t="str">
            <v>RND-MAJ-012-02</v>
          </cell>
          <cell r="B2914" t="str">
            <v>Glandplate</v>
          </cell>
          <cell r="E2914">
            <v>320.2</v>
          </cell>
          <cell r="G2914">
            <v>0</v>
          </cell>
        </row>
        <row r="2915">
          <cell r="A2915" t="str">
            <v>RND-MAJ-012-03</v>
          </cell>
          <cell r="B2915" t="str">
            <v>15K Floor Stand</v>
          </cell>
          <cell r="E2915">
            <v>2090</v>
          </cell>
          <cell r="G2915">
            <v>0</v>
          </cell>
        </row>
        <row r="2916">
          <cell r="A2916" t="str">
            <v>RND-MAJ013-01</v>
          </cell>
          <cell r="B2916" t="str">
            <v xml:space="preserve"> 4 CONTROLLER COVER (SLIM)</v>
          </cell>
          <cell r="E2916">
            <v>67.66</v>
          </cell>
          <cell r="G2916">
            <v>0</v>
          </cell>
        </row>
        <row r="2917">
          <cell r="A2917" t="str">
            <v>RND-MAJ013-02</v>
          </cell>
          <cell r="B2917" t="str">
            <v>ENCLOSER STAND HANLY</v>
          </cell>
          <cell r="E2917">
            <v>1783.5</v>
          </cell>
          <cell r="G2917">
            <v>0</v>
          </cell>
        </row>
        <row r="2918">
          <cell r="A2918" t="str">
            <v>RND-MAJ013-03</v>
          </cell>
          <cell r="B2918" t="str">
            <v>FARADY FLOOR STAND</v>
          </cell>
          <cell r="E2918">
            <v>2090</v>
          </cell>
          <cell r="G2918">
            <v>0</v>
          </cell>
        </row>
        <row r="2919">
          <cell r="A2919" t="str">
            <v>RND-MAJ014-01</v>
          </cell>
          <cell r="B2919" t="str">
            <v>Faraday 15K Cover</v>
          </cell>
          <cell r="E2919">
            <v>1738.61</v>
          </cell>
          <cell r="G2919">
            <v>0</v>
          </cell>
        </row>
        <row r="2920">
          <cell r="A2920" t="str">
            <v>RND-MAJ019-01</v>
          </cell>
          <cell r="B2920" t="str">
            <v>Marconi Label - 49-1001126 ISS 1.1</v>
          </cell>
          <cell r="E2920">
            <v>244.5</v>
          </cell>
          <cell r="G2920">
            <v>0</v>
          </cell>
        </row>
        <row r="2921">
          <cell r="A2921" t="str">
            <v>RND-MAJ020-01</v>
          </cell>
          <cell r="B2921" t="str">
            <v>33-2001652_4P PLUG-IN BRIDGE BAR for WTP1.5</v>
          </cell>
          <cell r="E2921">
            <v>12.94</v>
          </cell>
          <cell r="G2921">
            <v>0</v>
          </cell>
        </row>
        <row r="2922">
          <cell r="A2922" t="str">
            <v>RND-MAJ020-02</v>
          </cell>
          <cell r="B2922" t="str">
            <v>DIN 35 TERMINAL END STOP NO SCREW</v>
          </cell>
          <cell r="E2922">
            <v>4.5</v>
          </cell>
          <cell r="G2922">
            <v>0</v>
          </cell>
        </row>
        <row r="2923">
          <cell r="A2923" t="str">
            <v>RND-MAJ020-03</v>
          </cell>
          <cell r="B2923" t="str">
            <v>TYPE 1+2 20kA 1500VDC PV SPD</v>
          </cell>
          <cell r="E2923">
            <v>1599.45</v>
          </cell>
          <cell r="G2923">
            <v>0</v>
          </cell>
        </row>
        <row r="2924">
          <cell r="A2924" t="str">
            <v>RND-MAJ020-04</v>
          </cell>
          <cell r="B2924" t="str">
            <v>M18 NYLON COMPRESSION GLAND GREY</v>
          </cell>
          <cell r="E2924">
            <v>0</v>
          </cell>
          <cell r="G2924">
            <v>0</v>
          </cell>
        </row>
        <row r="2925">
          <cell r="A2925" t="str">
            <v>RND-MAJ020-06</v>
          </cell>
          <cell r="B2925" t="str">
            <v>33-2001174_IND LIGHT RED-CLEAR-BLUE 230VAC</v>
          </cell>
          <cell r="E2925">
            <v>208.82</v>
          </cell>
          <cell r="G2925">
            <v>0</v>
          </cell>
        </row>
        <row r="2926">
          <cell r="A2926" t="str">
            <v>RND-MAJ020-07</v>
          </cell>
          <cell r="B2926" t="str">
            <v>33-2001229_63A 4P CHANGEOVER SWITCH</v>
          </cell>
          <cell r="E2926">
            <v>934.26</v>
          </cell>
          <cell r="G2926">
            <v>0</v>
          </cell>
        </row>
        <row r="2927">
          <cell r="A2927" t="str">
            <v>RND-MAJ020-08</v>
          </cell>
          <cell r="B2927" t="str">
            <v>31-2001638_4mm RAIL MNT SCREW TERMINAL</v>
          </cell>
          <cell r="E2927">
            <v>4.5599999999999996</v>
          </cell>
          <cell r="G2927">
            <v>0</v>
          </cell>
        </row>
        <row r="2928">
          <cell r="A2928" t="str">
            <v>RND-MAJ020-09</v>
          </cell>
          <cell r="B2928" t="str">
            <v>31-2001639_TERMINAL END PLATE 2.5-10mm</v>
          </cell>
          <cell r="E2928">
            <v>2.65</v>
          </cell>
          <cell r="G2928">
            <v>0</v>
          </cell>
        </row>
        <row r="2929">
          <cell r="A2929" t="str">
            <v>RND-MAJ020-10</v>
          </cell>
          <cell r="B2929" t="str">
            <v>33-2001641_2P 32A 10x38 FUSE HOLDER</v>
          </cell>
          <cell r="E2929">
            <v>71.433329999999998</v>
          </cell>
          <cell r="G2929">
            <v>0</v>
          </cell>
        </row>
        <row r="2930">
          <cell r="A2930" t="str">
            <v>RND-MAJ020-11</v>
          </cell>
          <cell r="B2930" t="str">
            <v>33-2001651_2P PLUG-IN BRIDGE BAR for WTP1.5</v>
          </cell>
          <cell r="E2930">
            <v>4.3</v>
          </cell>
          <cell r="G2930">
            <v>0</v>
          </cell>
        </row>
        <row r="2931">
          <cell r="A2931" t="str">
            <v>RND-MAJ020-12</v>
          </cell>
          <cell r="B2931" t="str">
            <v>33-2001642_4P 32A 10x38 FUSE HOLDER</v>
          </cell>
          <cell r="E2931">
            <v>140.41</v>
          </cell>
          <cell r="G2931">
            <v>0</v>
          </cell>
        </row>
        <row r="2932">
          <cell r="A2932" t="str">
            <v>RND-MAJ020-13</v>
          </cell>
          <cell r="B2932" t="str">
            <v>33-2001643_1A gG 10x38 CYL FUSE LINK</v>
          </cell>
          <cell r="E2932">
            <v>5.41</v>
          </cell>
          <cell r="G2932">
            <v>0</v>
          </cell>
        </row>
        <row r="2933">
          <cell r="A2933" t="str">
            <v>RND-MAJ020-14</v>
          </cell>
          <cell r="B2933" t="str">
            <v>31-2001644_4mm RAIL MNT EARTH TERMINAL</v>
          </cell>
          <cell r="E2933">
            <v>24.43</v>
          </cell>
          <cell r="G2933">
            <v>0</v>
          </cell>
        </row>
        <row r="2934">
          <cell r="A2934" t="str">
            <v>RND-MAJ020-15</v>
          </cell>
          <cell r="B2934" t="str">
            <v>33-2001794_6A 2P 6kA C-CURVE MCB</v>
          </cell>
          <cell r="E2934">
            <v>180.62</v>
          </cell>
          <cell r="G2934">
            <v>0</v>
          </cell>
        </row>
        <row r="2935">
          <cell r="A2935" t="str">
            <v>RND-MAJ020-16</v>
          </cell>
          <cell r="B2935" t="str">
            <v>33-2001279_0.5A 1P 6kA C-CURVE MCB</v>
          </cell>
          <cell r="E2935">
            <v>104.41</v>
          </cell>
          <cell r="G2935">
            <v>0</v>
          </cell>
        </row>
        <row r="2936">
          <cell r="A2936" t="str">
            <v>RND-MAJ020-17</v>
          </cell>
          <cell r="B2936" t="str">
            <v>31-2001649_TERMINAL END STOP SCREWLESS</v>
          </cell>
          <cell r="E2936">
            <v>9.0500000000000007</v>
          </cell>
          <cell r="G2936">
            <v>0</v>
          </cell>
        </row>
        <row r="2937">
          <cell r="A2937" t="str">
            <v>RND-MAJ020-18</v>
          </cell>
          <cell r="B2937" t="str">
            <v>31-2001650_TERMINAL END PLATE WTP1.5</v>
          </cell>
          <cell r="E2937">
            <v>4.43</v>
          </cell>
          <cell r="G2937">
            <v>0</v>
          </cell>
        </row>
        <row r="2938">
          <cell r="A2938" t="str">
            <v>RND-MAJ020-19</v>
          </cell>
          <cell r="B2938" t="str">
            <v>39-2001637_24 WAY SURFACE D/B T/PARENT DOOR</v>
          </cell>
          <cell r="E2938">
            <v>439.59</v>
          </cell>
          <cell r="G2938">
            <v>0</v>
          </cell>
        </row>
        <row r="2939">
          <cell r="A2939" t="str">
            <v>RND-MAJ020-20</v>
          </cell>
          <cell r="B2939" t="str">
            <v>31-2001648_1.5mm2 RAIL MOUNT TERMINAL</v>
          </cell>
          <cell r="E2939">
            <v>9.4346800000000002</v>
          </cell>
          <cell r="G2939">
            <v>0</v>
          </cell>
        </row>
        <row r="2940">
          <cell r="A2940" t="str">
            <v>RND-MAJ020-21</v>
          </cell>
          <cell r="B2940" t="str">
            <v>39-2001705_54 WAY IP65 SURFACE MOUNT DB</v>
          </cell>
          <cell r="E2940">
            <v>1390.7</v>
          </cell>
          <cell r="G2940">
            <v>0</v>
          </cell>
        </row>
        <row r="2941">
          <cell r="A2941" t="str">
            <v>RND-MAJ020-22</v>
          </cell>
          <cell r="B2941" t="str">
            <v>39-2001172_54 WAY SURFACE D/B T/PARENT DOOR</v>
          </cell>
          <cell r="E2941">
            <v>647.5</v>
          </cell>
          <cell r="G2941">
            <v>0</v>
          </cell>
        </row>
        <row r="2942">
          <cell r="A2942" t="str">
            <v>RND-MAJ021-01</v>
          </cell>
          <cell r="B2942" t="str">
            <v>33-2000891_10A 1P 6kA C-CURVE MCB</v>
          </cell>
          <cell r="E2942">
            <v>54.61</v>
          </cell>
          <cell r="G2942">
            <v>0</v>
          </cell>
        </row>
        <row r="2943">
          <cell r="A2943" t="str">
            <v>RND-MAJ021-02</v>
          </cell>
          <cell r="B2943" t="str">
            <v>33-2001822_32A 1P 6kA C-CURVE MCB</v>
          </cell>
          <cell r="E2943">
            <v>54.61</v>
          </cell>
          <cell r="G2943">
            <v>0</v>
          </cell>
        </row>
        <row r="2944">
          <cell r="A2944" t="str">
            <v>RND-MAJ021-03</v>
          </cell>
          <cell r="B2944" t="str">
            <v>39-2000603_18 WAY SURFACE D/B T/PARENT DOOR</v>
          </cell>
          <cell r="E2944">
            <v>388.77</v>
          </cell>
          <cell r="G2944">
            <v>0</v>
          </cell>
        </row>
        <row r="2945">
          <cell r="A2945" t="str">
            <v>RND-MAJ022-01</v>
          </cell>
          <cell r="B2945" t="str">
            <v>WiFi Router, Mikrotik (wSMA)</v>
          </cell>
          <cell r="E2945">
            <v>535.10400000000004</v>
          </cell>
          <cell r="G2945">
            <v>0</v>
          </cell>
        </row>
        <row r="2946">
          <cell r="A2946" t="str">
            <v>RND-MAJ023-01</v>
          </cell>
          <cell r="B2946" t="str">
            <v>33-2001730_DC CIRCUIT BREAKER DIN-RAIL MOUNT 25A 4P</v>
          </cell>
          <cell r="E2946">
            <v>289.72199999999998</v>
          </cell>
          <cell r="G2946">
            <v>0</v>
          </cell>
        </row>
        <row r="2947">
          <cell r="A2947" t="str">
            <v>RND-MAJ024-01</v>
          </cell>
          <cell r="B2947" t="str">
            <v>41-100xxxx_iss1.0 D2_Q Cabinet Controller Enclosure Type A Cross Mount Bracket Rear</v>
          </cell>
          <cell r="E2947">
            <v>35.75</v>
          </cell>
          <cell r="G2947">
            <v>0</v>
          </cell>
        </row>
        <row r="2948">
          <cell r="A2948" t="str">
            <v>RND-MAJ024-02</v>
          </cell>
          <cell r="B2948" t="str">
            <v>41-1001276_iss1.0 D2_Controller Enclosure Type A Base Panel</v>
          </cell>
          <cell r="E2948">
            <v>321.64999999999998</v>
          </cell>
          <cell r="G2948">
            <v>0</v>
          </cell>
        </row>
        <row r="2949">
          <cell r="A2949" t="str">
            <v>RND-MAJ024-03</v>
          </cell>
          <cell r="B2949" t="str">
            <v>41-1001278_iss1.0 D2_Controller Enclosure Type A Front Face</v>
          </cell>
          <cell r="E2949">
            <v>71.3</v>
          </cell>
          <cell r="G2949">
            <v>0</v>
          </cell>
        </row>
        <row r="2950">
          <cell r="A2950" t="str">
            <v>RND-MAJ024-04</v>
          </cell>
          <cell r="B2950" t="str">
            <v>41-1001603_iss1.0 D2_Controller Enclosure Type A Mounting Bracket</v>
          </cell>
          <cell r="E2950">
            <v>9.56</v>
          </cell>
          <cell r="G2950">
            <v>0</v>
          </cell>
        </row>
        <row r="2951">
          <cell r="A2951" t="str">
            <v>RND-MAJ024-05</v>
          </cell>
          <cell r="B2951" t="str">
            <v>41-1001708_iss1.0 D2_Controller Enclosure Type A Cross Mount Bracket</v>
          </cell>
          <cell r="E2951">
            <v>37.76</v>
          </cell>
          <cell r="G2951">
            <v>0</v>
          </cell>
        </row>
        <row r="2952">
          <cell r="A2952" t="str">
            <v>RND-MAJ024-06</v>
          </cell>
          <cell r="B2952" t="str">
            <v>41-1001707_iss1.0 D2_Q Cabinet Controller Enclosure Type A Top</v>
          </cell>
          <cell r="E2952">
            <v>64.55</v>
          </cell>
          <cell r="G2952">
            <v>0</v>
          </cell>
        </row>
        <row r="2953">
          <cell r="A2953" t="str">
            <v>RND-MAJ025-01</v>
          </cell>
          <cell r="B2953" t="str">
            <v>2A 1P 6kA C-CURVE MCB</v>
          </cell>
          <cell r="E2953">
            <v>97.21</v>
          </cell>
          <cell r="G2953">
            <v>0</v>
          </cell>
        </row>
        <row r="2954">
          <cell r="A2954" t="str">
            <v>RND-MAJ025-02</v>
          </cell>
          <cell r="B2954" t="str">
            <v>39-2001837_DB, Surface Mount, 2x18, w Door, Light Grey, IP55</v>
          </cell>
          <cell r="E2954">
            <v>1124.71</v>
          </cell>
          <cell r="G2954">
            <v>0</v>
          </cell>
        </row>
        <row r="2955">
          <cell r="A2955" t="str">
            <v>RND-MAJ026-01</v>
          </cell>
          <cell r="B2955" t="str">
            <v>31-2001346_Ferrule, Blade Terminal, Uninsulated, 16mm2, 16mm Blade Length</v>
          </cell>
          <cell r="E2955">
            <v>4.3891</v>
          </cell>
          <cell r="G2955">
            <v>0</v>
          </cell>
        </row>
        <row r="2956">
          <cell r="A2956" t="str">
            <v>RND-MAJ027-01</v>
          </cell>
          <cell r="B2956" t="str">
            <v>SIZE 0 WHITE PVC COMPRESSION GLAND 5-8mm CABLE</v>
          </cell>
          <cell r="E2956">
            <v>1.9</v>
          </cell>
          <cell r="G2956">
            <v>0</v>
          </cell>
        </row>
        <row r="2957">
          <cell r="A2957" t="str">
            <v>RND-MAJ027-02</v>
          </cell>
          <cell r="B2957" t="str">
            <v>40MM BRASS NICKEL PLATED GLAND</v>
          </cell>
          <cell r="E2957">
            <v>70.5</v>
          </cell>
          <cell r="G2957">
            <v>0</v>
          </cell>
        </row>
        <row r="2958">
          <cell r="A2958" t="str">
            <v>RND-MAJ028-01</v>
          </cell>
          <cell r="B2958" t="str">
            <v>E-PUTTY 250G PART 1 FB - EPOXY PART 1 - MIX IN EQUAL</v>
          </cell>
          <cell r="E2958">
            <v>70.09</v>
          </cell>
          <cell r="G2958">
            <v>0</v>
          </cell>
        </row>
        <row r="2959">
          <cell r="A2959" t="str">
            <v>RND-MAJ028-02</v>
          </cell>
          <cell r="B2959" t="str">
            <v>E-PUTTY 250G PART 2 FB - VERSAMID PART 2 - MIX IN EQUAL</v>
          </cell>
          <cell r="E2959">
            <v>70.099999999999994</v>
          </cell>
          <cell r="G2959">
            <v>0</v>
          </cell>
        </row>
        <row r="2960">
          <cell r="A2960" t="str">
            <v>RND-MAJ029-01</v>
          </cell>
          <cell r="B2960" t="str">
            <v>37-1001632-300_CABLE ASSY, CAT5E, RJ45-BOOTLACE</v>
          </cell>
          <cell r="E2960">
            <v>27.8</v>
          </cell>
          <cell r="G2960">
            <v>0</v>
          </cell>
        </row>
        <row r="2961">
          <cell r="A2961" t="str">
            <v>RND-MAJ029-02</v>
          </cell>
          <cell r="B2961" t="str">
            <v>37-1001632-400_CABLE ASSY, CAT5E, RJ45-BOOTLACE</v>
          </cell>
          <cell r="E2961">
            <v>27.8</v>
          </cell>
          <cell r="G2961">
            <v>0</v>
          </cell>
        </row>
        <row r="2962">
          <cell r="A2962" t="str">
            <v>RND-MAJ029-03</v>
          </cell>
          <cell r="B2962" t="str">
            <v>37-1001632-650_CABLE ASSY, CAT5E, RJ45-BOOTLACE</v>
          </cell>
          <cell r="E2962">
            <v>27.8</v>
          </cell>
          <cell r="G2962">
            <v>0</v>
          </cell>
        </row>
        <row r="2963">
          <cell r="A2963" t="str">
            <v>RND-MAJ029-04</v>
          </cell>
          <cell r="B2963" t="str">
            <v>37-1001632-750_CABLE ASSY, CAT5E, RJ45-BOOTLACE</v>
          </cell>
          <cell r="E2963">
            <v>27.8</v>
          </cell>
          <cell r="G2963">
            <v>0</v>
          </cell>
        </row>
        <row r="2964">
          <cell r="A2964" t="str">
            <v>RND-MAJ029-05</v>
          </cell>
          <cell r="B2964" t="str">
            <v>37-1001631-500_CABLE ASSY, CAT5E, DF11-RJ45</v>
          </cell>
          <cell r="E2964">
            <v>30.3</v>
          </cell>
          <cell r="G2964">
            <v>0</v>
          </cell>
        </row>
        <row r="2965">
          <cell r="A2965" t="str">
            <v>RND-MAJ029-06</v>
          </cell>
          <cell r="B2965" t="str">
            <v>37-1001629-500_CABLE ASSY, 2 PAIR, DF11-BOOTLACE</v>
          </cell>
          <cell r="E2965">
            <v>30.7</v>
          </cell>
          <cell r="G2965">
            <v>0</v>
          </cell>
        </row>
        <row r="2966">
          <cell r="A2966" t="str">
            <v>RND-MAJ029-07</v>
          </cell>
          <cell r="B2966" t="str">
            <v>37-1001630_CABLE ASSY, 2 PAIR, DF11-BOOTLACE-RJ45-RJ45</v>
          </cell>
          <cell r="E2966">
            <v>84.2</v>
          </cell>
          <cell r="G2966">
            <v>0</v>
          </cell>
        </row>
        <row r="2967">
          <cell r="A2967" t="str">
            <v>RND-MAJ029-08</v>
          </cell>
          <cell r="B2967" t="str">
            <v>37-1001105_CABLE ASSY, 2 PAIR, 0,75MM2,BOOTLACE-BOOTLACE-RING</v>
          </cell>
          <cell r="E2967">
            <v>60.05</v>
          </cell>
          <cell r="G2967">
            <v>0</v>
          </cell>
        </row>
        <row r="2968">
          <cell r="A2968" t="str">
            <v>RND-MAJ029-09</v>
          </cell>
          <cell r="B2968" t="str">
            <v>37-1001882-200_CABLE ASSY, INVERTER COMS-RESET BUTTON</v>
          </cell>
          <cell r="E2968">
            <v>0</v>
          </cell>
          <cell r="G2968">
            <v>0</v>
          </cell>
        </row>
        <row r="2969">
          <cell r="A2969" t="str">
            <v>RND-MAJ029-10</v>
          </cell>
          <cell r="B2969" t="str">
            <v>37-1001882-500_CABLE ASSY, INVERTER COMS-RESET BUTTON</v>
          </cell>
          <cell r="E2969">
            <v>0</v>
          </cell>
          <cell r="G2969">
            <v>0</v>
          </cell>
        </row>
        <row r="2970">
          <cell r="A2970" t="str">
            <v>RND-MAJ029-11</v>
          </cell>
          <cell r="B2970" t="str">
            <v>37-1001882-800_CABLE ASSY, INVERTER COMS-RESET BUTTON</v>
          </cell>
          <cell r="E2970">
            <v>0</v>
          </cell>
          <cell r="G2970">
            <v>0</v>
          </cell>
        </row>
        <row r="2971">
          <cell r="A2971" t="str">
            <v>RND-MAJ032-01</v>
          </cell>
          <cell r="B2971" t="str">
            <v>41-1001750_iss1.0_Controller Enclosure, Type A, Cross Mount Bracket, Rear</v>
          </cell>
          <cell r="E2971">
            <v>35.75</v>
          </cell>
          <cell r="G2971">
            <v>0</v>
          </cell>
        </row>
        <row r="2972">
          <cell r="A2972" t="str">
            <v>RND-MAJ032-02</v>
          </cell>
          <cell r="B2972" t="str">
            <v>41-1001276_iss1.0_Controller Enclosure, Type A, Base Panel</v>
          </cell>
          <cell r="E2972">
            <v>321.64999999999998</v>
          </cell>
          <cell r="G2972">
            <v>0</v>
          </cell>
        </row>
        <row r="2973">
          <cell r="A2973" t="str">
            <v>RND-MAJ032-03</v>
          </cell>
          <cell r="B2973" t="str">
            <v>41-1001278_iss1.0_Controller Enclosure, Type A, Front Face</v>
          </cell>
          <cell r="E2973">
            <v>71.3</v>
          </cell>
          <cell r="G2973">
            <v>0</v>
          </cell>
        </row>
        <row r="2974">
          <cell r="A2974" t="str">
            <v>RND-MAJ032-04</v>
          </cell>
          <cell r="B2974" t="str">
            <v>41-1001603_iss1.0_Controller Enclosure, Type A, Mounting Bracket</v>
          </cell>
          <cell r="E2974">
            <v>9.56</v>
          </cell>
          <cell r="G2974">
            <v>0</v>
          </cell>
        </row>
        <row r="2975">
          <cell r="A2975" t="str">
            <v>RND-MAJ032-05</v>
          </cell>
          <cell r="B2975" t="str">
            <v>41-1001708_iss1.0, Controller Enclosure, Type A, Cross Mount Bracket</v>
          </cell>
          <cell r="E2975">
            <v>37.76</v>
          </cell>
          <cell r="G2975">
            <v>0</v>
          </cell>
        </row>
        <row r="2976">
          <cell r="A2976" t="str">
            <v>RND-MAJ032-06</v>
          </cell>
          <cell r="B2976" t="str">
            <v>41-1001707_iss1.0, Controller Enclosure, Type A, Top</v>
          </cell>
          <cell r="E2976">
            <v>64.55</v>
          </cell>
          <cell r="G2976">
            <v>0</v>
          </cell>
        </row>
        <row r="2977">
          <cell r="A2977" t="str">
            <v>RND-MAJ033-01</v>
          </cell>
          <cell r="B2977" t="str">
            <v>4-4 Combiner Box, Mounting Plate</v>
          </cell>
          <cell r="E2977">
            <v>108.7</v>
          </cell>
          <cell r="G2977">
            <v>0</v>
          </cell>
        </row>
        <row r="2978">
          <cell r="A2978" t="str">
            <v>RND-MAJ034-01</v>
          </cell>
          <cell r="B2978" t="str">
            <v>Akira G1 Adapter Hanging Bracket.</v>
          </cell>
          <cell r="E2978">
            <v>0</v>
          </cell>
          <cell r="G2978">
            <v>0</v>
          </cell>
        </row>
        <row r="2979">
          <cell r="A2979" t="str">
            <v>RND-MAX33041EASA</v>
          </cell>
          <cell r="B2979" t="str">
            <v>IC CAN TXRX 3.3V 2MBPS SOIC</v>
          </cell>
          <cell r="E2979">
            <v>94.17</v>
          </cell>
          <cell r="G2979">
            <v>0</v>
          </cell>
        </row>
        <row r="2980">
          <cell r="A2980" t="str">
            <v>RND-MC3419</v>
          </cell>
          <cell r="B2980" t="str">
            <v>3-AXIS ACCELEROMETER</v>
          </cell>
          <cell r="E2980">
            <v>28.623180000000001</v>
          </cell>
          <cell r="G2980">
            <v>0</v>
          </cell>
        </row>
        <row r="2981">
          <cell r="A2981" t="str">
            <v>RND-MC-ESP-TOP/BOTTO</v>
          </cell>
          <cell r="B2981" t="str">
            <v>MC ESP TOP &amp; BOTTOM STENCIL ON 150X200MM PROTO FOIL</v>
          </cell>
          <cell r="E2981">
            <v>780</v>
          </cell>
          <cell r="G2981">
            <v>0</v>
          </cell>
        </row>
        <row r="2982">
          <cell r="A2982" t="str">
            <v>RND-MCP2542FDT-E/SN</v>
          </cell>
          <cell r="B2982" t="str">
            <v>IC TRANSCEIVER 1/1 8SOIC</v>
          </cell>
          <cell r="E2982">
            <v>22.87</v>
          </cell>
          <cell r="G2982">
            <v>0</v>
          </cell>
        </row>
        <row r="2983">
          <cell r="A2983" t="str">
            <v>RND-MCP9843T-BE/MC</v>
          </cell>
          <cell r="B2983" t="str">
            <v>IC TEMP SENSOR DGTL 8-DFN</v>
          </cell>
          <cell r="E2983">
            <v>19.62</v>
          </cell>
          <cell r="G2983">
            <v>0</v>
          </cell>
        </row>
        <row r="2984">
          <cell r="A2984" t="str">
            <v>RND-MC-UPS-TOP-STENC</v>
          </cell>
          <cell r="B2984" t="str">
            <v>MC UPS TOP STENCIL ON 150 X 200MM PROTO FOIL</v>
          </cell>
          <cell r="E2984">
            <v>780</v>
          </cell>
          <cell r="G2984">
            <v>1</v>
          </cell>
        </row>
        <row r="2985">
          <cell r="A2985" t="str">
            <v>RND-MDP099-01</v>
          </cell>
          <cell r="B2985" t="str">
            <v>PDP Panel 1-3 Hager 320A</v>
          </cell>
          <cell r="E2985">
            <v>72858.789999999994</v>
          </cell>
          <cell r="G2985">
            <v>1</v>
          </cell>
        </row>
        <row r="2986">
          <cell r="A2986" t="str">
            <v>RND-MDP099-02</v>
          </cell>
          <cell r="B2986" t="str">
            <v>PDP Panel 4-6 Hager 630A</v>
          </cell>
          <cell r="E2986">
            <v>110028.05</v>
          </cell>
          <cell r="G2986">
            <v>1</v>
          </cell>
        </row>
        <row r="2987">
          <cell r="A2987" t="str">
            <v>RND-MDP099-03</v>
          </cell>
          <cell r="B2987" t="str">
            <v>PDP Panel 7-10 Hager 800A</v>
          </cell>
          <cell r="E2987">
            <v>183647.98</v>
          </cell>
          <cell r="G2987">
            <v>0</v>
          </cell>
        </row>
        <row r="2988">
          <cell r="A2988" t="str">
            <v>RND-MDP124_01</v>
          </cell>
          <cell r="B2988" t="str">
            <v>CAP CER 0.33UF 25V X7R 0603</v>
          </cell>
          <cell r="E2988">
            <v>1.93</v>
          </cell>
          <cell r="G2988">
            <v>0</v>
          </cell>
        </row>
        <row r="2989">
          <cell r="A2989" t="str">
            <v>RND-MDP124_02</v>
          </cell>
          <cell r="B2989" t="str">
            <v>CAP CER 0.1UF 25V X7R 0603</v>
          </cell>
          <cell r="E2989">
            <v>0.56999999999999995</v>
          </cell>
          <cell r="G2989">
            <v>0</v>
          </cell>
        </row>
        <row r="2990">
          <cell r="A2990" t="str">
            <v>RND-MDP124_03</v>
          </cell>
          <cell r="B2990" t="str">
            <v>CAP ALUM 10UF 20% 16V SMD</v>
          </cell>
          <cell r="E2990">
            <v>4.3099999999999996</v>
          </cell>
          <cell r="G2990">
            <v>0</v>
          </cell>
        </row>
        <row r="2991">
          <cell r="A2991" t="str">
            <v>RND-MDP124_04</v>
          </cell>
          <cell r="B2991" t="str">
            <v>CAP 400V 10uF 2000Hours ESR=18Ohms 20%</v>
          </cell>
          <cell r="E2991">
            <v>20.41</v>
          </cell>
          <cell r="G2991">
            <v>0</v>
          </cell>
        </row>
        <row r="2992">
          <cell r="A2992" t="str">
            <v>RND-MDP124_05</v>
          </cell>
          <cell r="B2992" t="str">
            <v>CAP ALUM 220UF 20% 16V SMD</v>
          </cell>
          <cell r="E2992">
            <v>8.39</v>
          </cell>
          <cell r="G2992">
            <v>0</v>
          </cell>
        </row>
        <row r="2993">
          <cell r="A2993" t="str">
            <v>RND-MDP124_06</v>
          </cell>
          <cell r="B2993" t="str">
            <v>CAP CER 1UF 16V X5R 0603</v>
          </cell>
          <cell r="E2993">
            <v>0.75</v>
          </cell>
          <cell r="G2993">
            <v>0</v>
          </cell>
        </row>
        <row r="2994">
          <cell r="A2994" t="str">
            <v>RND-MDP124_07</v>
          </cell>
          <cell r="B2994" t="str">
            <v>CONN HEADER VERT 4POS 2.54MM</v>
          </cell>
          <cell r="E2994">
            <v>1.05</v>
          </cell>
          <cell r="G2994">
            <v>0</v>
          </cell>
        </row>
        <row r="2995">
          <cell r="A2995" t="str">
            <v>RND-MDP124_08</v>
          </cell>
          <cell r="B2995" t="str">
            <v>CONN HEADER VERT 2POS 2.5MM</v>
          </cell>
          <cell r="E2995">
            <v>1.65</v>
          </cell>
          <cell r="G2995">
            <v>0</v>
          </cell>
        </row>
        <row r="2996">
          <cell r="A2996" t="str">
            <v>RND-MDP124_09</v>
          </cell>
          <cell r="B2996" t="str">
            <v>CAP FILM 0.1UF 10% 275VAC RADIAL</v>
          </cell>
          <cell r="E2996">
            <v>2.56</v>
          </cell>
          <cell r="G2996">
            <v>0</v>
          </cell>
        </row>
        <row r="2997">
          <cell r="A2997" t="str">
            <v>RND-MDP124_10</v>
          </cell>
          <cell r="B2997" t="str">
            <v>CAP FILM 0.022UF 10% 630VDC RAD</v>
          </cell>
          <cell r="E2997">
            <v>9.41</v>
          </cell>
          <cell r="G2997">
            <v>0</v>
          </cell>
        </row>
        <row r="2998">
          <cell r="A2998" t="str">
            <v>RND-MDP124_11</v>
          </cell>
          <cell r="B2998" t="str">
            <v>DIODE GEN PURP 75V 150MA SOD323</v>
          </cell>
          <cell r="E2998">
            <v>2.04</v>
          </cell>
          <cell r="G2998">
            <v>0</v>
          </cell>
        </row>
        <row r="2999">
          <cell r="A2999" t="str">
            <v>RND-MDP124_12</v>
          </cell>
          <cell r="B2999" t="str">
            <v>FUSE BRD MNT 100MA 250VAC 125VDC</v>
          </cell>
          <cell r="E2999">
            <v>14.97</v>
          </cell>
          <cell r="G2999">
            <v>0</v>
          </cell>
        </row>
        <row r="3000">
          <cell r="A3000" t="str">
            <v>RND-MDP124_13</v>
          </cell>
          <cell r="B3000" t="str">
            <v>RELAY GEN PURPOSE DPST 8A 12V</v>
          </cell>
          <cell r="E3000">
            <v>87.93</v>
          </cell>
          <cell r="G3000">
            <v>0</v>
          </cell>
        </row>
        <row r="3001">
          <cell r="A3001" t="str">
            <v>RND-MDP124_14</v>
          </cell>
          <cell r="B3001" t="str">
            <v>General Purpose Relays</v>
          </cell>
          <cell r="E3001">
            <v>72.790000000000006</v>
          </cell>
          <cell r="G3001">
            <v>0</v>
          </cell>
        </row>
        <row r="3002">
          <cell r="A3002" t="str">
            <v>RND-MDP124_15</v>
          </cell>
          <cell r="B3002" t="str">
            <v>RELAY GEN PURPOSE SPST 10A 12V</v>
          </cell>
          <cell r="E3002">
            <v>34.549999999999997</v>
          </cell>
          <cell r="G3002">
            <v>0</v>
          </cell>
        </row>
        <row r="3003">
          <cell r="A3003" t="str">
            <v>RND-MDP124_16</v>
          </cell>
          <cell r="B3003" t="str">
            <v>FIXED IND 1.2MH 60MA 30 OHM SMD</v>
          </cell>
          <cell r="E3003">
            <v>12.72</v>
          </cell>
          <cell r="G3003">
            <v>0</v>
          </cell>
        </row>
        <row r="3004">
          <cell r="A3004" t="str">
            <v>RND-MDP124_17</v>
          </cell>
          <cell r="B3004" t="str">
            <v>VARISTOR 390V 2.5KA DISC 10MM</v>
          </cell>
          <cell r="E3004">
            <v>7.33</v>
          </cell>
          <cell r="G3004">
            <v>0</v>
          </cell>
        </row>
        <row r="3005">
          <cell r="A3005" t="str">
            <v>RND-MDP124_18</v>
          </cell>
          <cell r="B3005" t="str">
            <v>AC/DC CONVERTER 12V 3W</v>
          </cell>
          <cell r="E3005">
            <v>32.090000000000003</v>
          </cell>
          <cell r="G3005">
            <v>0</v>
          </cell>
        </row>
        <row r="3006">
          <cell r="A3006" t="str">
            <v>RND-MDP124_19</v>
          </cell>
          <cell r="B3006" t="str">
            <v>TRANS NPN 40V 0.6A SOT23</v>
          </cell>
          <cell r="E3006">
            <v>2.11</v>
          </cell>
          <cell r="G3006">
            <v>0</v>
          </cell>
        </row>
        <row r="3007">
          <cell r="A3007" t="str">
            <v>RND-MDP124_20</v>
          </cell>
          <cell r="B3007" t="str">
            <v>RES 3.9K OHM 1% 1/10W 0603</v>
          </cell>
          <cell r="E3007">
            <v>0.41</v>
          </cell>
          <cell r="G3007">
            <v>0</v>
          </cell>
        </row>
        <row r="3008">
          <cell r="A3008" t="str">
            <v>RND-MDP124_21</v>
          </cell>
          <cell r="B3008" t="str">
            <v>RES 3.3K OHM 1% 1/10W 0603</v>
          </cell>
          <cell r="E3008">
            <v>0.41</v>
          </cell>
          <cell r="G3008">
            <v>0</v>
          </cell>
        </row>
        <row r="3009">
          <cell r="A3009" t="str">
            <v>RND-MDP124_22</v>
          </cell>
          <cell r="B3009" t="str">
            <v>RES 10K OHM 1% 1/10W 0603</v>
          </cell>
          <cell r="E3009">
            <v>0.41</v>
          </cell>
          <cell r="G3009">
            <v>0</v>
          </cell>
        </row>
        <row r="3010">
          <cell r="A3010" t="str">
            <v>RND-MDP124_23</v>
          </cell>
          <cell r="B3010" t="str">
            <v>RES 1.8K OHM 1% 1/10W 0603</v>
          </cell>
          <cell r="E3010">
            <v>0.41</v>
          </cell>
          <cell r="G3010">
            <v>0</v>
          </cell>
        </row>
        <row r="3011">
          <cell r="A3011" t="str">
            <v>RND-MDP124_24</v>
          </cell>
          <cell r="B3011" t="str">
            <v>RES 390 OHM 1% 2W 2512</v>
          </cell>
          <cell r="E3011">
            <v>9.07</v>
          </cell>
          <cell r="G3011">
            <v>0</v>
          </cell>
        </row>
        <row r="3012">
          <cell r="A3012" t="str">
            <v>RND-MDP124_25</v>
          </cell>
          <cell r="B3012" t="str">
            <v>RES 2.4K OHM 1% 1/10W 0603</v>
          </cell>
          <cell r="E3012">
            <v>0.41</v>
          </cell>
          <cell r="G3012">
            <v>0</v>
          </cell>
        </row>
        <row r="3013">
          <cell r="A3013" t="str">
            <v>RND-MDP124_26</v>
          </cell>
          <cell r="B3013" t="str">
            <v>RES 220 OHM 1% 2W 2512</v>
          </cell>
          <cell r="E3013">
            <v>9.07</v>
          </cell>
          <cell r="G3013">
            <v>0</v>
          </cell>
        </row>
        <row r="3014">
          <cell r="A3014" t="str">
            <v>RND-MDP124_27</v>
          </cell>
          <cell r="B3014" t="str">
            <v>RES SMD 150 OHM 1% 1W 2512</v>
          </cell>
          <cell r="E3014">
            <v>7.42</v>
          </cell>
          <cell r="G3014">
            <v>0</v>
          </cell>
        </row>
        <row r="3015">
          <cell r="A3015" t="str">
            <v>RND-MDP124_28</v>
          </cell>
          <cell r="B3015" t="str">
            <v>RES SMD 51 OHM 1% 2W 2512</v>
          </cell>
          <cell r="E3015">
            <v>10.43</v>
          </cell>
          <cell r="G3015">
            <v>0</v>
          </cell>
        </row>
        <row r="3016">
          <cell r="A3016" t="str">
            <v>RND-MDP124_29</v>
          </cell>
          <cell r="B3016" t="str">
            <v>250 FASTON PCB TAB TPBR</v>
          </cell>
          <cell r="E3016">
            <v>1.61</v>
          </cell>
          <cell r="G3016">
            <v>0</v>
          </cell>
        </row>
        <row r="3017">
          <cell r="A3017" t="str">
            <v>RND-MDP124_30</v>
          </cell>
          <cell r="B3017" t="str">
            <v>12 A - 800 V - 150 ?C H-SERIES T</v>
          </cell>
          <cell r="E3017">
            <v>20.05</v>
          </cell>
          <cell r="G3017">
            <v>0</v>
          </cell>
        </row>
        <row r="3018">
          <cell r="A3018" t="str">
            <v>RND-MDP124_31</v>
          </cell>
          <cell r="B3018" t="str">
            <v>SSR RELAY SPST-NO 100MA 0-60V</v>
          </cell>
          <cell r="E3018">
            <v>23.06</v>
          </cell>
          <cell r="G3018">
            <v>0</v>
          </cell>
        </row>
        <row r="3019">
          <cell r="A3019" t="str">
            <v>RND-MDP124_32</v>
          </cell>
          <cell r="B3019" t="str">
            <v>IC REG LINEAR 5V 100MA SOT89-3</v>
          </cell>
          <cell r="E3019">
            <v>7.91</v>
          </cell>
          <cell r="G3019">
            <v>0</v>
          </cell>
        </row>
        <row r="3020">
          <cell r="A3020" t="str">
            <v>RND-MDP124_33</v>
          </cell>
          <cell r="B3020" t="str">
            <v>IC MCU 8BIT 2KB FLASH 8SOIC</v>
          </cell>
          <cell r="E3020">
            <v>12.02</v>
          </cell>
          <cell r="G3020">
            <v>0</v>
          </cell>
        </row>
        <row r="3021">
          <cell r="A3021" t="str">
            <v>RND-MDP124_34</v>
          </cell>
          <cell r="B3021" t="str">
            <v>OPTOISOLATOR 5KV TRIAC 6SMD</v>
          </cell>
          <cell r="E3021">
            <v>10.86</v>
          </cell>
          <cell r="G3021">
            <v>0</v>
          </cell>
        </row>
        <row r="3022">
          <cell r="A3022" t="str">
            <v>RND-MDP124_35</v>
          </cell>
          <cell r="B3022" t="str">
            <v>OPTOISOLATR 5KV TRANSISTOR 4-SMD</v>
          </cell>
          <cell r="E3022">
            <v>6.19</v>
          </cell>
          <cell r="G3022">
            <v>0</v>
          </cell>
        </row>
        <row r="3023">
          <cell r="A3023" t="str">
            <v>RND-MDP129-01</v>
          </cell>
          <cell r="B3023" t="str">
            <v>PCB Assy, MC Test</v>
          </cell>
          <cell r="E3023">
            <v>932.12</v>
          </cell>
          <cell r="G3023">
            <v>0</v>
          </cell>
        </row>
        <row r="3024">
          <cell r="A3024" t="str">
            <v>RND-MDP-130</v>
          </cell>
          <cell r="B3024" t="str">
            <v>TBB SDM630-MODBUS THREE PHASE
ENERGY METER</v>
          </cell>
          <cell r="E3024">
            <v>2244.36</v>
          </cell>
          <cell r="G3024">
            <v>0</v>
          </cell>
        </row>
        <row r="3025">
          <cell r="A3025" t="str">
            <v>RND-MDP-131-01</v>
          </cell>
          <cell r="B3025" t="str">
            <v>Metcom_MCS301 CT (1-10A) CI0.5S Meter</v>
          </cell>
          <cell r="E3025">
            <v>3672</v>
          </cell>
          <cell r="G3025">
            <v>0</v>
          </cell>
        </row>
        <row r="3026">
          <cell r="A3026" t="str">
            <v>RND-MDP-131-02</v>
          </cell>
          <cell r="B3026" t="str">
            <v>Metcom_MCS301 DC (100A) CI1 Meter</v>
          </cell>
          <cell r="E3026">
            <v>3672</v>
          </cell>
          <cell r="G3026">
            <v>0</v>
          </cell>
        </row>
        <row r="3027">
          <cell r="A3027" t="str">
            <v>RND-MDP-131-03</v>
          </cell>
          <cell r="B3027" t="str">
            <v>ME28.1W_A1140 LAN-RS232/RS485 Converter</v>
          </cell>
          <cell r="E3027">
            <v>1568.25</v>
          </cell>
          <cell r="G3027">
            <v>0</v>
          </cell>
        </row>
        <row r="3028">
          <cell r="A3028" t="str">
            <v>RND-MDP-131-04</v>
          </cell>
          <cell r="B3028" t="str">
            <v>2S1B/A1700/PSU_265VAC</v>
          </cell>
          <cell r="E3028">
            <v>295.8</v>
          </cell>
          <cell r="G3028">
            <v>0</v>
          </cell>
        </row>
        <row r="3029">
          <cell r="A3029" t="str">
            <v>RND-MDP-133-01</v>
          </cell>
          <cell r="B3029" t="str">
            <v>ME28.3W_DIN LAN/WiFi to Serial Converter</v>
          </cell>
          <cell r="E3029">
            <v>1355.75</v>
          </cell>
          <cell r="G3029">
            <v>0</v>
          </cell>
        </row>
        <row r="3030">
          <cell r="A3030" t="str">
            <v>RND-MDP-134</v>
          </cell>
          <cell r="B3030" t="str">
            <v>V500 AC Bypass Switch PCB Assy</v>
          </cell>
          <cell r="E3030">
            <v>257.58</v>
          </cell>
          <cell r="G3030">
            <v>0</v>
          </cell>
        </row>
        <row r="3031">
          <cell r="A3031" t="str">
            <v>RND-MDP-136-01</v>
          </cell>
          <cell r="B3031" t="str">
            <v>BMEEnergy Meter for 3Phase - with 3x CT</v>
          </cell>
          <cell r="E3031">
            <v>2456.66</v>
          </cell>
          <cell r="G3031">
            <v>0</v>
          </cell>
        </row>
        <row r="3032">
          <cell r="A3032" t="str">
            <v>RND-MDP136-02</v>
          </cell>
          <cell r="B3032" t="str">
            <v>SR32F Plus</v>
          </cell>
          <cell r="E3032">
            <v>12229.182000000001</v>
          </cell>
          <cell r="G3032">
            <v>0</v>
          </cell>
        </row>
        <row r="3033">
          <cell r="A3033" t="str">
            <v>RND-MDP137-01</v>
          </cell>
          <cell r="B3033" t="str">
            <v>SR32F</v>
          </cell>
          <cell r="E3033">
            <v>20638.79</v>
          </cell>
          <cell r="G3033">
            <v>0</v>
          </cell>
        </row>
        <row r="3034">
          <cell r="A3034" t="str">
            <v>RND-MDP150-01</v>
          </cell>
          <cell r="B3034" t="str">
            <v>MCB, 10kA, 1P, 125A, C-Curve - Sample</v>
          </cell>
          <cell r="E3034">
            <v>140.095</v>
          </cell>
          <cell r="G3034">
            <v>0</v>
          </cell>
        </row>
        <row r="3035">
          <cell r="A3035" t="str">
            <v>RND-MDP153-01</v>
          </cell>
          <cell r="B3035" t="str">
            <v>MPLA PICkit 4 In-Circuit Debugger/Programmer</v>
          </cell>
          <cell r="E3035">
            <v>1895</v>
          </cell>
          <cell r="G3035">
            <v>0</v>
          </cell>
        </row>
        <row r="3036">
          <cell r="A3036" t="str">
            <v>RND-MDP153-02</v>
          </cell>
          <cell r="B3036" t="str">
            <v>FUSE CLIP PCB - FOR 5MM DIA. FUSES - TRANSVERSAL PINS 10A</v>
          </cell>
          <cell r="E3036">
            <v>2.25</v>
          </cell>
          <cell r="G3036">
            <v>0</v>
          </cell>
        </row>
        <row r="3037">
          <cell r="A3037" t="str">
            <v>RND-MDP155-01</v>
          </cell>
          <cell r="B3037" t="str">
            <v>80A 1P 10KA C-CURVE MCB</v>
          </cell>
          <cell r="E3037">
            <v>392.13499999999999</v>
          </cell>
          <cell r="G3037">
            <v>0</v>
          </cell>
        </row>
        <row r="3038">
          <cell r="A3038" t="str">
            <v>RND-MDP155-02</v>
          </cell>
          <cell r="B3038" t="str">
            <v>IND LIGHT RED-CLEAR-BLUE 230VAC</v>
          </cell>
          <cell r="E3038">
            <v>213.22499999999999</v>
          </cell>
          <cell r="G3038">
            <v>0</v>
          </cell>
        </row>
        <row r="3039">
          <cell r="A3039" t="str">
            <v>RND-MDP155-03</v>
          </cell>
          <cell r="B3039" t="str">
            <v>63A 4P CHANGEOVER SWITCH</v>
          </cell>
          <cell r="E3039">
            <v>916.29</v>
          </cell>
          <cell r="G3039">
            <v>1</v>
          </cell>
        </row>
        <row r="3040">
          <cell r="A3040" t="str">
            <v>RND-MDP155-04</v>
          </cell>
          <cell r="B3040" t="str">
            <v>63A 4P 6kA C-CURVE MCB</v>
          </cell>
          <cell r="E3040">
            <v>633.80999999999995</v>
          </cell>
          <cell r="G3040">
            <v>0</v>
          </cell>
        </row>
        <row r="3041">
          <cell r="A3041" t="str">
            <v>RND-MDP168-01</v>
          </cell>
          <cell r="B3041" t="str">
            <v>SDM230-Modbus</v>
          </cell>
          <cell r="E3041">
            <v>393.97300000000001</v>
          </cell>
          <cell r="G3041">
            <v>0</v>
          </cell>
        </row>
        <row r="3042">
          <cell r="A3042" t="str">
            <v>RND-MDP168-02</v>
          </cell>
          <cell r="B3042" t="str">
            <v>SDM320C</v>
          </cell>
          <cell r="E3042">
            <v>508.35199999999998</v>
          </cell>
          <cell r="G3042">
            <v>0</v>
          </cell>
        </row>
        <row r="3043">
          <cell r="A3043" t="str">
            <v>RND-MDP168-03</v>
          </cell>
          <cell r="B3043" t="str">
            <v>SDM530C</v>
          </cell>
          <cell r="E3043">
            <v>1270.8775000000001</v>
          </cell>
          <cell r="G3043">
            <v>0</v>
          </cell>
        </row>
        <row r="3044">
          <cell r="A3044" t="str">
            <v>RND-MDP168-04</v>
          </cell>
          <cell r="B3044" t="str">
            <v>SDM630MCT</v>
          </cell>
          <cell r="E3044">
            <v>1169.2</v>
          </cell>
          <cell r="G3044">
            <v>0</v>
          </cell>
        </row>
        <row r="3045">
          <cell r="A3045" t="str">
            <v>RND-MDP168-05</v>
          </cell>
          <cell r="B3045" t="str">
            <v>SDM630-Modbus V2</v>
          </cell>
          <cell r="E3045">
            <v>1220.028</v>
          </cell>
          <cell r="G3045">
            <v>0</v>
          </cell>
        </row>
        <row r="3046">
          <cell r="A3046" t="str">
            <v>RND-MDP171-01</v>
          </cell>
          <cell r="B3046" t="str">
            <v>CHANGE OVER SWITCH 63A 4P DIN MOUNT</v>
          </cell>
          <cell r="E3046">
            <v>431.91</v>
          </cell>
          <cell r="G3046">
            <v>87</v>
          </cell>
        </row>
        <row r="3047">
          <cell r="A3047" t="str">
            <v>RND-MDP171-02</v>
          </cell>
          <cell r="B3047" t="str">
            <v>CHANGE OVER SWITCH 100A 2P DIN MOUNT</v>
          </cell>
          <cell r="E3047">
            <v>244.37</v>
          </cell>
          <cell r="G3047">
            <v>0</v>
          </cell>
        </row>
        <row r="3048">
          <cell r="A3048" t="str">
            <v>RND-MDP172-01</v>
          </cell>
          <cell r="B3048" t="str">
            <v xml:space="preserve">HLF280S - MCB, 10kA, 2P, 80A, C-Curve </v>
          </cell>
          <cell r="E3048">
            <v>756.5</v>
          </cell>
          <cell r="G3048">
            <v>0</v>
          </cell>
        </row>
        <row r="3049">
          <cell r="A3049" t="str">
            <v>RND-MDP172-02</v>
          </cell>
          <cell r="B3049" t="str">
            <v>SVN223 - Pilot Light, AC, 3P, Phase Indication</v>
          </cell>
          <cell r="E3049">
            <v>220.12</v>
          </cell>
          <cell r="G3049">
            <v>0</v>
          </cell>
        </row>
        <row r="3050">
          <cell r="A3050" t="str">
            <v>RND-MDP172-03</v>
          </cell>
          <cell r="B3050" t="str">
            <v>MA463Z - MCB, 6kA, 4P, 63A, C-Curve</v>
          </cell>
          <cell r="E3050">
            <v>681.22</v>
          </cell>
          <cell r="G3050">
            <v>0</v>
          </cell>
        </row>
        <row r="3051">
          <cell r="A3051" t="str">
            <v>RND-MDP172-04</v>
          </cell>
          <cell r="B3051" t="str">
            <v>KB190C - Busbar, Insulated, 100A, 1P, 24 Way</v>
          </cell>
          <cell r="E3051">
            <v>146.75</v>
          </cell>
          <cell r="G3051">
            <v>0</v>
          </cell>
        </row>
        <row r="3052">
          <cell r="A3052" t="str">
            <v>RND-MDP173-01</v>
          </cell>
          <cell r="B3052" t="str">
            <v>14C5412 - PSU D/R I=85/264 O=05V@ 2A 10W</v>
          </cell>
          <cell r="E3052">
            <v>309</v>
          </cell>
          <cell r="G3052">
            <v>0</v>
          </cell>
        </row>
        <row r="3053">
          <cell r="A3053" t="str">
            <v>RND-MDP173-02</v>
          </cell>
          <cell r="B3053" t="str">
            <v>PSU D/R I=85/264 O=12V@0.84A</v>
          </cell>
          <cell r="E3053">
            <v>300</v>
          </cell>
          <cell r="G3053">
            <v>0</v>
          </cell>
        </row>
        <row r="3054">
          <cell r="A3054" t="str">
            <v>RND-MDP174-01</v>
          </cell>
          <cell r="B3054" t="str">
            <v>15K Floor Stand</v>
          </cell>
          <cell r="E3054">
            <v>2090</v>
          </cell>
          <cell r="G3054">
            <v>0</v>
          </cell>
        </row>
        <row r="3055">
          <cell r="A3055" t="str">
            <v>RND-MDP175-01</v>
          </cell>
          <cell r="B3055" t="str">
            <v>ESP Programmer</v>
          </cell>
          <cell r="E3055">
            <v>281.43</v>
          </cell>
          <cell r="G3055">
            <v>0</v>
          </cell>
        </row>
        <row r="3056">
          <cell r="A3056" t="str">
            <v>RND-MDP178-01</v>
          </cell>
          <cell r="B3056" t="str">
            <v>BUSBAR 2P 100A 24 MODULES</v>
          </cell>
          <cell r="E3056">
            <v>707.68</v>
          </cell>
          <cell r="G3056">
            <v>0</v>
          </cell>
        </row>
        <row r="3057">
          <cell r="A3057" t="str">
            <v>RND-MDP181-01</v>
          </cell>
          <cell r="B3057" t="str">
            <v>Inverter, Matrix II, 15kW</v>
          </cell>
          <cell r="E3057">
            <v>24536.080000000002</v>
          </cell>
          <cell r="G3057">
            <v>0</v>
          </cell>
        </row>
        <row r="3058">
          <cell r="A3058" t="str">
            <v>RND-MDP186-01</v>
          </cell>
          <cell r="B3058" t="str">
            <v>Blade lug 10mm2</v>
          </cell>
          <cell r="E3058">
            <v>4.2665699999999998</v>
          </cell>
          <cell r="G3058">
            <v>1000</v>
          </cell>
        </row>
        <row r="3059">
          <cell r="A3059" t="str">
            <v>RND-MDP186-02</v>
          </cell>
          <cell r="B3059" t="str">
            <v>Blade lug 16mm2</v>
          </cell>
          <cell r="E3059">
            <v>6.3998600000000003</v>
          </cell>
          <cell r="G3059">
            <v>500</v>
          </cell>
        </row>
        <row r="3060">
          <cell r="A3060" t="str">
            <v>RND-MDP186-03</v>
          </cell>
          <cell r="B3060" t="str">
            <v>Blade lug 25mm2</v>
          </cell>
          <cell r="E3060">
            <v>9.4928500000000007</v>
          </cell>
          <cell r="G3060">
            <v>200</v>
          </cell>
        </row>
        <row r="3061">
          <cell r="A3061" t="str">
            <v>RND-MDP187-01</v>
          </cell>
          <cell r="B3061" t="str">
            <v>HOT AIR PENCIL + BUTTON 24V 100W IRON</v>
          </cell>
          <cell r="E3061">
            <v>1378</v>
          </cell>
          <cell r="G3061">
            <v>0</v>
          </cell>
        </row>
        <row r="3062">
          <cell r="A3062" t="str">
            <v>RND-MDP187-02</v>
          </cell>
          <cell r="B3062" t="str">
            <v>MICRO-USB to USB-A V8 800MM DATA LEAD BLACK</v>
          </cell>
          <cell r="E3062">
            <v>12.88889</v>
          </cell>
          <cell r="G3062">
            <v>0</v>
          </cell>
        </row>
        <row r="3063">
          <cell r="A3063" t="str">
            <v>RND-MDP187-03</v>
          </cell>
          <cell r="B3063" t="str">
            <v>PLUGTOP DEDICATED 16A 250V RD</v>
          </cell>
          <cell r="E3063">
            <v>23</v>
          </cell>
          <cell r="G3063">
            <v>0</v>
          </cell>
        </row>
        <row r="3064">
          <cell r="A3064" t="str">
            <v>RND-MDP187-04</v>
          </cell>
          <cell r="B3064" t="str">
            <v>LEAD EXT M/PLUG 5x3P 4x2P 5M</v>
          </cell>
          <cell r="E3064">
            <v>300</v>
          </cell>
          <cell r="G3064">
            <v>0</v>
          </cell>
        </row>
        <row r="3065">
          <cell r="A3065" t="str">
            <v>RND-MDP188-01</v>
          </cell>
          <cell r="B3065" t="str">
            <v>Switch, Button Head, Momentary, 22mm, Green</v>
          </cell>
          <cell r="E3065">
            <v>32.888300000000001</v>
          </cell>
          <cell r="G3065">
            <v>0</v>
          </cell>
        </row>
        <row r="3066">
          <cell r="A3066" t="str">
            <v>RND-MDP189-01</v>
          </cell>
          <cell r="B3066" t="str">
            <v>Cable Assy, FFC, 50 Position, p=0.5mm, l=200mm, Type 1</v>
          </cell>
          <cell r="E3066">
            <v>79.53</v>
          </cell>
          <cell r="G3066">
            <v>0</v>
          </cell>
        </row>
        <row r="3067">
          <cell r="A3067" t="str">
            <v>RND-MDP193-01</v>
          </cell>
          <cell r="B3067" t="str">
            <v>2-CH 220VAC 2A RELAY 5V SOLID STATE</v>
          </cell>
          <cell r="E3067">
            <v>109</v>
          </cell>
          <cell r="G3067">
            <v>4</v>
          </cell>
        </row>
        <row r="3068">
          <cell r="A3068" t="str">
            <v>RND-MDP194-01</v>
          </cell>
          <cell r="B3068" t="str">
            <v>PVC HOUSING IP56 300x220x120</v>
          </cell>
          <cell r="E3068">
            <v>311.83</v>
          </cell>
          <cell r="G3068">
            <v>2</v>
          </cell>
        </row>
        <row r="3069">
          <cell r="A3069" t="str">
            <v>RND-MDP194-02</v>
          </cell>
          <cell r="B3069" t="str">
            <v>CHASSIS PLATE FOR 380x300 HOUSING</v>
          </cell>
          <cell r="E3069">
            <v>333.97</v>
          </cell>
          <cell r="G3069">
            <v>2</v>
          </cell>
        </row>
        <row r="3070">
          <cell r="A3070" t="str">
            <v>RND-MDP194-03</v>
          </cell>
          <cell r="B3070" t="str">
            <v>3A 2P 6KA MCB</v>
          </cell>
          <cell r="E3070">
            <v>98.18</v>
          </cell>
          <cell r="G3070">
            <v>5</v>
          </cell>
        </row>
        <row r="3071">
          <cell r="A3071" t="str">
            <v>RND-MDP194-04</v>
          </cell>
          <cell r="B3071" t="str">
            <v>TERMINAL END PLATE (WT2.5/4/6/10)</v>
          </cell>
          <cell r="E3071">
            <v>4.37</v>
          </cell>
          <cell r="G3071">
            <v>5</v>
          </cell>
        </row>
        <row r="3072">
          <cell r="A3072" t="str">
            <v>RND-MDP194-05</v>
          </cell>
          <cell r="B3072" t="str">
            <v>2.5mm2 RAIL MOUNT TERMINAL</v>
          </cell>
          <cell r="E3072">
            <v>6.65</v>
          </cell>
          <cell r="G3072">
            <v>10</v>
          </cell>
        </row>
        <row r="3073">
          <cell r="A3073" t="str">
            <v>RND-MDP194-06</v>
          </cell>
          <cell r="B3073" t="str">
            <v>M16 NYLON COMPRESSION GLAND GREY</v>
          </cell>
          <cell r="E3073">
            <v>1.52</v>
          </cell>
          <cell r="G3073">
            <v>20</v>
          </cell>
        </row>
        <row r="3074">
          <cell r="A3074" t="str">
            <v>RND-MDP194-07</v>
          </cell>
          <cell r="B3074" t="str">
            <v>M20 NYLON COMPRESSION GLAND GREY</v>
          </cell>
          <cell r="E3074">
            <v>3.36</v>
          </cell>
          <cell r="G3074">
            <v>21</v>
          </cell>
        </row>
        <row r="3075">
          <cell r="A3075" t="str">
            <v>RND-MDP195-01</v>
          </cell>
          <cell r="B3075" t="str">
            <v>CABLE FFC/FPC 50POS 0.5MM 7.87"</v>
          </cell>
          <cell r="E3075">
            <v>52.83</v>
          </cell>
          <cell r="G3075">
            <v>0</v>
          </cell>
        </row>
        <row r="3076">
          <cell r="A3076" t="str">
            <v>RND-MDP196-01</v>
          </cell>
          <cell r="B3076" t="str">
            <v>SPRING LOADED PROBE / 2.0mm SPEAR CONTACT 3A L=33m</v>
          </cell>
          <cell r="E3076">
            <v>6.5</v>
          </cell>
          <cell r="G3076">
            <v>0</v>
          </cell>
        </row>
        <row r="3077">
          <cell r="A3077" t="str">
            <v>RND-MDP197-01</v>
          </cell>
          <cell r="B3077" t="str">
            <v>WAVE OLED 1.5" 128X128 MODULE</v>
          </cell>
          <cell r="E3077">
            <v>198</v>
          </cell>
          <cell r="G3077">
            <v>0</v>
          </cell>
        </row>
        <row r="3078">
          <cell r="A3078" t="str">
            <v>RND-MDP198-01</v>
          </cell>
          <cell r="B3078" t="str">
            <v>E-Hub</v>
          </cell>
          <cell r="E3078">
            <v>6533.1</v>
          </cell>
          <cell r="G3078">
            <v>0</v>
          </cell>
        </row>
        <row r="3079">
          <cell r="A3079" t="str">
            <v>RND-MDP198-02</v>
          </cell>
          <cell r="B3079" t="str">
            <v>A7 LCD Monitor</v>
          </cell>
          <cell r="E3079">
            <v>4718.3500000000004</v>
          </cell>
          <cell r="G3079">
            <v>0</v>
          </cell>
        </row>
        <row r="3080">
          <cell r="A3080" t="str">
            <v>RND-MDP203-01</v>
          </cell>
          <cell r="B3080" t="str">
            <v>Switch, Button Head, Momentary, 22mm, Green</v>
          </cell>
          <cell r="E3080">
            <v>12.105449999999999</v>
          </cell>
          <cell r="G3080">
            <v>0</v>
          </cell>
        </row>
        <row r="3081">
          <cell r="A3081" t="str">
            <v>RND-MDP205-01</v>
          </cell>
          <cell r="B3081" t="str">
            <v>Battery, 18650 Li-Ion Cell 2200mAh, Protected, Cable with JST Connector</v>
          </cell>
          <cell r="E3081">
            <v>396.58800000000002</v>
          </cell>
          <cell r="G3081">
            <v>0</v>
          </cell>
        </row>
        <row r="3082">
          <cell r="A3082" t="str">
            <v>RND-MDP205-02</v>
          </cell>
          <cell r="B3082" t="str">
            <v>Battery, 21700 Li-Ion Cell 5000mAh, Protected, Cable with JST Connector</v>
          </cell>
          <cell r="E3082">
            <v>0</v>
          </cell>
          <cell r="G3082">
            <v>0</v>
          </cell>
        </row>
        <row r="3083">
          <cell r="A3083" t="str">
            <v>RND-MDP205-03</v>
          </cell>
          <cell r="B3083" t="str">
            <v xml:space="preserve">Cable, Cat5e, 2 pair, stranded 7-32, 24 AWG UTP, PVC Jacket </v>
          </cell>
          <cell r="E3083">
            <v>741.2</v>
          </cell>
          <cell r="G3083">
            <v>0</v>
          </cell>
        </row>
        <row r="3084">
          <cell r="A3084" t="str">
            <v>RND-MDP209-01</v>
          </cell>
          <cell r="B3084" t="str">
            <v>E-Hub</v>
          </cell>
          <cell r="E3084">
            <v>7942.88</v>
          </cell>
          <cell r="G3084">
            <v>0</v>
          </cell>
        </row>
        <row r="3085">
          <cell r="A3085" t="str">
            <v>RND-MDP213-01</v>
          </cell>
          <cell r="B3085" t="str">
            <v>RZBoard Development Kit</v>
          </cell>
          <cell r="E3085">
            <v>3034.1533300000001</v>
          </cell>
          <cell r="G3085">
            <v>0</v>
          </cell>
        </row>
        <row r="3086">
          <cell r="A3086" t="str">
            <v>RND-MDP214-01</v>
          </cell>
          <cell r="B3086" t="str">
            <v>Power Resistor Kit - 10 Watt (20 Pack)</v>
          </cell>
          <cell r="E3086">
            <v>165</v>
          </cell>
          <cell r="G3086">
            <v>0</v>
          </cell>
        </row>
        <row r="3087">
          <cell r="A3087" t="str">
            <v>RND-MDP214-02</v>
          </cell>
          <cell r="B3087" t="str">
            <v>Dual Volt &amp; Current Meter 500V 100A - White</v>
          </cell>
          <cell r="E3087">
            <v>98</v>
          </cell>
          <cell r="G3087">
            <v>0</v>
          </cell>
        </row>
        <row r="3088">
          <cell r="A3088" t="str">
            <v>RND-MDP214-03</v>
          </cell>
          <cell r="B3088" t="str">
            <v>CH340 USB to UART DIP Module</v>
          </cell>
          <cell r="E3088">
            <v>46</v>
          </cell>
          <cell r="G3088">
            <v>0</v>
          </cell>
        </row>
        <row r="3089">
          <cell r="A3089" t="str">
            <v>RND-MDP214-04</v>
          </cell>
          <cell r="B3089" t="str">
            <v>C13 Power Connector, Male, AC 220V</v>
          </cell>
          <cell r="E3089">
            <v>11</v>
          </cell>
          <cell r="G3089">
            <v>0</v>
          </cell>
        </row>
        <row r="3090">
          <cell r="A3090" t="str">
            <v>RND-MDP214-05</v>
          </cell>
          <cell r="B3090" t="str">
            <v>USB Type C Cable 1.5M - Black</v>
          </cell>
          <cell r="E3090">
            <v>15</v>
          </cell>
          <cell r="G3090">
            <v>0</v>
          </cell>
        </row>
        <row r="3091">
          <cell r="A3091" t="str">
            <v>RND-MDP214-06</v>
          </cell>
          <cell r="B3091" t="str">
            <v>Panel Mount USB C Connector with Dust Cap - 4 Wire</v>
          </cell>
          <cell r="E3091">
            <v>18</v>
          </cell>
          <cell r="G3091">
            <v>0</v>
          </cell>
        </row>
        <row r="3092">
          <cell r="A3092" t="str">
            <v>RND-MDP214-07</v>
          </cell>
          <cell r="B3092" t="str">
            <v>USB to USB-C Cable - 2M</v>
          </cell>
          <cell r="E3092">
            <v>38</v>
          </cell>
          <cell r="G3092">
            <v>0</v>
          </cell>
        </row>
        <row r="3093">
          <cell r="A3093" t="str">
            <v>RND-MDP215-01</v>
          </cell>
          <cell r="B3093" t="str">
            <v>Washer, Contact, M6, Zinc Plated</v>
          </cell>
          <cell r="E3093">
            <v>2.1800000000000002</v>
          </cell>
          <cell r="G3093">
            <v>0</v>
          </cell>
        </row>
        <row r="3094">
          <cell r="A3094" t="str">
            <v>RND-MDP216-01</v>
          </cell>
          <cell r="B3094" t="str">
            <v>150mm Digital Vernier Caliper</v>
          </cell>
          <cell r="E3094">
            <v>326.08999999999997</v>
          </cell>
          <cell r="G3094">
            <v>0</v>
          </cell>
        </row>
        <row r="3095">
          <cell r="A3095" t="str">
            <v>RND-MDP216-02</v>
          </cell>
          <cell r="B3095" t="str">
            <v>Masking Tape, 18mm, 40m roll</v>
          </cell>
          <cell r="E3095">
            <v>12.17</v>
          </cell>
          <cell r="G3095">
            <v>0</v>
          </cell>
        </row>
        <row r="3096">
          <cell r="A3096" t="str">
            <v>RND-MDP216-03</v>
          </cell>
          <cell r="B3096" t="str">
            <v>Super Glue, 5ml</v>
          </cell>
          <cell r="E3096">
            <v>13.04</v>
          </cell>
          <cell r="G3096">
            <v>0</v>
          </cell>
        </row>
        <row r="3097">
          <cell r="A3097" t="str">
            <v>RND-MDP216-04</v>
          </cell>
          <cell r="B3097" t="str">
            <v>Utility Knife</v>
          </cell>
          <cell r="E3097">
            <v>52.17</v>
          </cell>
          <cell r="G3097">
            <v>0</v>
          </cell>
        </row>
        <row r="3098">
          <cell r="A3098" t="str">
            <v>RND-MDP216-05</v>
          </cell>
          <cell r="B3098" t="str">
            <v>G-Clamp, 150mm</v>
          </cell>
          <cell r="E3098">
            <v>152.16999999999999</v>
          </cell>
          <cell r="G3098">
            <v>0</v>
          </cell>
        </row>
        <row r="3099">
          <cell r="A3099" t="str">
            <v>RND-MDP216-06</v>
          </cell>
          <cell r="B3099" t="str">
            <v>Drill Bit Set, 25pce</v>
          </cell>
          <cell r="E3099">
            <v>413.04</v>
          </cell>
          <cell r="G3099">
            <v>0</v>
          </cell>
        </row>
        <row r="3100">
          <cell r="A3100" t="str">
            <v>RND-MDP216-07</v>
          </cell>
          <cell r="B3100" t="str">
            <v>Allen Key Set, 9pce</v>
          </cell>
          <cell r="E3100">
            <v>169.57499999999999</v>
          </cell>
          <cell r="G3100">
            <v>0</v>
          </cell>
        </row>
        <row r="3101">
          <cell r="A3101" t="str">
            <v>RND-MDP216-08</v>
          </cell>
          <cell r="B3101" t="str">
            <v>Hacksaw Blade, 3pce</v>
          </cell>
          <cell r="E3101">
            <v>65.22</v>
          </cell>
          <cell r="G3101">
            <v>0</v>
          </cell>
        </row>
        <row r="3102">
          <cell r="A3102" t="str">
            <v>RND-MDP216-09</v>
          </cell>
          <cell r="B3102" t="str">
            <v>Socket Set</v>
          </cell>
          <cell r="E3102">
            <v>0</v>
          </cell>
          <cell r="G3102">
            <v>0</v>
          </cell>
        </row>
        <row r="3103">
          <cell r="A3103" t="str">
            <v>RND-MDP217-01</v>
          </cell>
          <cell r="B3103" t="str">
            <v>Pogo E2 Spring-loaded Test Pin (20 Pack)</v>
          </cell>
          <cell r="E3103">
            <v>19.72</v>
          </cell>
          <cell r="G3103">
            <v>0</v>
          </cell>
        </row>
        <row r="3104">
          <cell r="A3104" t="str">
            <v>RND-MDP217-02</v>
          </cell>
          <cell r="B3104" t="str">
            <v>USB Tester with OLED Display - No Bluetooth</v>
          </cell>
          <cell r="E3104">
            <v>601.49</v>
          </cell>
          <cell r="G3104">
            <v>0</v>
          </cell>
        </row>
        <row r="3105">
          <cell r="A3105" t="str">
            <v>RND-MDP217-03</v>
          </cell>
          <cell r="B3105" t="str">
            <v>USB Electronic Load 25W with Display</v>
          </cell>
          <cell r="E3105">
            <v>300.2</v>
          </cell>
          <cell r="G3105">
            <v>0</v>
          </cell>
        </row>
        <row r="3106">
          <cell r="A3106" t="str">
            <v>RND-MDP217-04</v>
          </cell>
          <cell r="B3106" t="str">
            <v>JST XH 2.54mm Straight QTY=150 Kit</v>
          </cell>
          <cell r="E3106">
            <v>53.68</v>
          </cell>
          <cell r="G3106">
            <v>0</v>
          </cell>
        </row>
        <row r="3107">
          <cell r="A3107" t="str">
            <v>RND-MDP217-05</v>
          </cell>
          <cell r="B3107" t="str">
            <v>Header 40 Way Male Header Connector (10Pack)</v>
          </cell>
          <cell r="E3107">
            <v>10.96</v>
          </cell>
          <cell r="G3107">
            <v>0</v>
          </cell>
        </row>
        <row r="3108">
          <cell r="A3108" t="str">
            <v>RND-MDP217-06</v>
          </cell>
          <cell r="B3108" t="str">
            <v>Adjustable T-Handle Ratchet Tap Wrench Set(5 Pcs)</v>
          </cell>
          <cell r="E3108">
            <v>136.94999999999999</v>
          </cell>
          <cell r="G3108">
            <v>0</v>
          </cell>
        </row>
        <row r="3109">
          <cell r="A3109" t="str">
            <v>RND-MDP218-01</v>
          </cell>
          <cell r="B3109" t="str">
            <v>Mobile Storage Bin Rack</v>
          </cell>
          <cell r="E3109">
            <v>3651</v>
          </cell>
          <cell r="G3109">
            <v>0</v>
          </cell>
        </row>
        <row r="3110">
          <cell r="A3110" t="str">
            <v>RND-MDP219-01</v>
          </cell>
          <cell r="B3110" t="str">
            <v>Screw, Hex head, M5x6, SS</v>
          </cell>
          <cell r="E3110">
            <v>1.38</v>
          </cell>
          <cell r="G3110">
            <v>0</v>
          </cell>
        </row>
        <row r="3111">
          <cell r="A3111" t="str">
            <v>RND-MDP219-02</v>
          </cell>
          <cell r="B3111" t="str">
            <v>Screw, Socket Head, M3x16, SS</v>
          </cell>
          <cell r="E3111">
            <v>0.36</v>
          </cell>
          <cell r="G3111">
            <v>0</v>
          </cell>
        </row>
        <row r="3112">
          <cell r="A3112" t="str">
            <v>RND-MDP219-03</v>
          </cell>
          <cell r="B3112" t="str">
            <v>Screw, Socket Head, M3x30, SS</v>
          </cell>
          <cell r="E3112">
            <v>0.55000000000000004</v>
          </cell>
          <cell r="G3112">
            <v>0</v>
          </cell>
        </row>
        <row r="3113">
          <cell r="A3113" t="str">
            <v>RND-MDP219-04</v>
          </cell>
          <cell r="B3113" t="str">
            <v>Screw, Socket Head, M4x8, SS</v>
          </cell>
          <cell r="E3113">
            <v>0.48</v>
          </cell>
          <cell r="G3113">
            <v>0</v>
          </cell>
        </row>
        <row r="3114">
          <cell r="A3114" t="str">
            <v>RND-MDP219-05</v>
          </cell>
          <cell r="B3114" t="str">
            <v>Screw, Socket Head, M4x16, SS</v>
          </cell>
          <cell r="E3114">
            <v>0.52</v>
          </cell>
          <cell r="G3114">
            <v>0</v>
          </cell>
        </row>
        <row r="3115">
          <cell r="A3115" t="str">
            <v>RND-MDP219-06</v>
          </cell>
          <cell r="B3115" t="str">
            <v>Screw, Socket Head, M4x30, SS</v>
          </cell>
          <cell r="E3115">
            <v>0.99</v>
          </cell>
          <cell r="G3115">
            <v>0</v>
          </cell>
        </row>
        <row r="3116">
          <cell r="A3116" t="str">
            <v>RND-MDP219-07</v>
          </cell>
          <cell r="B3116" t="str">
            <v>Screw, Socket Head, M5x8, SS</v>
          </cell>
          <cell r="E3116">
            <v>0.64</v>
          </cell>
          <cell r="G3116">
            <v>0</v>
          </cell>
        </row>
        <row r="3117">
          <cell r="A3117" t="str">
            <v>RND-MDP219-08</v>
          </cell>
          <cell r="B3117" t="str">
            <v>Screw, Socket Head, M5x25, SS</v>
          </cell>
          <cell r="E3117">
            <v>1</v>
          </cell>
          <cell r="G3117">
            <v>0</v>
          </cell>
        </row>
        <row r="3118">
          <cell r="A3118" t="str">
            <v>RND-MDP219-09</v>
          </cell>
          <cell r="B3118" t="str">
            <v>Screw, Button head, M4x12, SS</v>
          </cell>
          <cell r="E3118">
            <v>0.3</v>
          </cell>
          <cell r="G3118">
            <v>0</v>
          </cell>
        </row>
        <row r="3119">
          <cell r="A3119" t="str">
            <v>RND-MDP219-10</v>
          </cell>
          <cell r="B3119" t="str">
            <v>Screw, Button head, M4x20, SS</v>
          </cell>
          <cell r="E3119">
            <v>0.76</v>
          </cell>
          <cell r="G3119">
            <v>0</v>
          </cell>
        </row>
        <row r="3120">
          <cell r="A3120" t="str">
            <v>RND-MDP219-11</v>
          </cell>
          <cell r="B3120" t="str">
            <v>Screw, Button head, M4x12, SS</v>
          </cell>
          <cell r="E3120">
            <v>0.3</v>
          </cell>
          <cell r="G3120">
            <v>0</v>
          </cell>
        </row>
        <row r="3121">
          <cell r="A3121" t="str">
            <v>RND-MDP219-12</v>
          </cell>
          <cell r="B3121" t="str">
            <v>Screw, Button head, M4x16, SS</v>
          </cell>
          <cell r="E3121">
            <v>0.51</v>
          </cell>
          <cell r="G3121">
            <v>0</v>
          </cell>
        </row>
        <row r="3122">
          <cell r="A3122" t="str">
            <v>RND-MDP219-13</v>
          </cell>
          <cell r="B3122" t="str">
            <v>Screw, Button head, M4x20, SS</v>
          </cell>
          <cell r="E3122">
            <v>0.76</v>
          </cell>
          <cell r="G3122">
            <v>0</v>
          </cell>
        </row>
        <row r="3123">
          <cell r="A3123" t="str">
            <v>RND-MDP219-14</v>
          </cell>
          <cell r="B3123" t="str">
            <v>Screw, Button head, M6x10, SS</v>
          </cell>
          <cell r="E3123">
            <v>0.93</v>
          </cell>
          <cell r="G3123">
            <v>0</v>
          </cell>
        </row>
        <row r="3124">
          <cell r="A3124" t="str">
            <v>RND-MDP219-15</v>
          </cell>
          <cell r="B3124" t="str">
            <v>Screw, Button head, M6x12, SS</v>
          </cell>
          <cell r="E3124">
            <v>0.95</v>
          </cell>
          <cell r="G3124">
            <v>0</v>
          </cell>
        </row>
        <row r="3125">
          <cell r="A3125" t="str">
            <v>RND-MDP219-16</v>
          </cell>
          <cell r="B3125" t="str">
            <v>Nut, Hex, M3, SS</v>
          </cell>
          <cell r="E3125">
            <v>0.1</v>
          </cell>
          <cell r="G3125">
            <v>0</v>
          </cell>
        </row>
        <row r="3126">
          <cell r="A3126" t="str">
            <v>RND-MDP219-17</v>
          </cell>
          <cell r="B3126" t="str">
            <v>Nut, Hex, M5, SS</v>
          </cell>
          <cell r="E3126">
            <v>0.16</v>
          </cell>
          <cell r="G3126">
            <v>0</v>
          </cell>
        </row>
        <row r="3127">
          <cell r="A3127" t="str">
            <v>RND-MDP219-18</v>
          </cell>
          <cell r="B3127" t="str">
            <v>Nut, Hex, M6, SS</v>
          </cell>
          <cell r="E3127">
            <v>0.26</v>
          </cell>
          <cell r="G3127">
            <v>0</v>
          </cell>
        </row>
        <row r="3128">
          <cell r="A3128" t="str">
            <v>RND-MDP219-19</v>
          </cell>
          <cell r="B3128" t="str">
            <v>Nut, Hex, Nyloc, M5, SS</v>
          </cell>
          <cell r="E3128">
            <v>0.21</v>
          </cell>
          <cell r="G3128">
            <v>0</v>
          </cell>
        </row>
        <row r="3129">
          <cell r="A3129" t="str">
            <v>RND-MDP219-20</v>
          </cell>
          <cell r="B3129" t="str">
            <v>Nut, Hex, Nyloc, M6, SS</v>
          </cell>
          <cell r="E3129">
            <v>0.27</v>
          </cell>
          <cell r="G3129">
            <v>0</v>
          </cell>
        </row>
        <row r="3130">
          <cell r="A3130" t="str">
            <v>RND-MDP220-01</v>
          </cell>
          <cell r="B3130" t="str">
            <v>320W Power Supply</v>
          </cell>
          <cell r="E3130">
            <v>2362.0500000000002</v>
          </cell>
          <cell r="G3130">
            <v>0</v>
          </cell>
        </row>
        <row r="3131">
          <cell r="A3131" t="str">
            <v>RND-MDP221-01</v>
          </cell>
          <cell r="B3131" t="str">
            <v>Bosch Battery Charger</v>
          </cell>
          <cell r="E3131">
            <v>986.64</v>
          </cell>
          <cell r="G3131">
            <v>0</v>
          </cell>
        </row>
        <row r="3132">
          <cell r="A3132" t="str">
            <v>RND-MDP222-01</v>
          </cell>
          <cell r="B3132" t="str">
            <v>TOOL HAND CRIMPER 18-22AWG SIDE</v>
          </cell>
          <cell r="E3132">
            <v>9956.2999999999993</v>
          </cell>
          <cell r="G3132">
            <v>0</v>
          </cell>
        </row>
        <row r="3133">
          <cell r="A3133" t="str">
            <v>RND-MDP222-02</v>
          </cell>
          <cell r="B3133" t="str">
            <v>HAND TOOL CLIKMATE 24-28AWG</v>
          </cell>
          <cell r="E3133">
            <v>6008.2</v>
          </cell>
          <cell r="G3133">
            <v>0</v>
          </cell>
        </row>
        <row r="3134">
          <cell r="A3134" t="str">
            <v>RND-MDP222-03</v>
          </cell>
          <cell r="B3134" t="str">
            <v>HAND TOOL CLIKMATE 24-28AWG</v>
          </cell>
          <cell r="E3134">
            <v>1455.08</v>
          </cell>
          <cell r="G3134">
            <v>0</v>
          </cell>
        </row>
        <row r="3135">
          <cell r="A3135" t="str">
            <v>RND-MDP222-04</v>
          </cell>
          <cell r="B3135" t="str">
            <v>TOOL HAND CRIMPER COAX SIDE</v>
          </cell>
          <cell r="E3135">
            <v>4807.9399999999996</v>
          </cell>
          <cell r="G3135">
            <v>0</v>
          </cell>
        </row>
        <row r="3136">
          <cell r="A3136" t="str">
            <v>RND-MDP223-01</v>
          </cell>
          <cell r="B3136" t="str">
            <v>CAP, ALUM, 100UF, 20%, 25V, RADIAL</v>
          </cell>
          <cell r="E3136">
            <v>1.85</v>
          </cell>
          <cell r="G3136">
            <v>1475</v>
          </cell>
        </row>
        <row r="3137">
          <cell r="A3137" t="str">
            <v>RND-MDP223-02</v>
          </cell>
          <cell r="B3137" t="str">
            <v>Header, Shrouded, Right Angle, P3.96mm, 2pos, Thru-hole</v>
          </cell>
          <cell r="E3137">
            <v>3.55</v>
          </cell>
          <cell r="G3137">
            <v>75</v>
          </cell>
        </row>
        <row r="3138">
          <cell r="A3138" t="str">
            <v>RND-MDP223-03</v>
          </cell>
          <cell r="B3138" t="str">
            <v>Header, Spacer, P2.54mm, 8pos, Thru Hole, Gold</v>
          </cell>
          <cell r="E3138">
            <v>45.83</v>
          </cell>
          <cell r="G3138">
            <v>85</v>
          </cell>
        </row>
        <row r="3139">
          <cell r="A3139" t="str">
            <v>RND-MDP223-04</v>
          </cell>
          <cell r="B3139" t="str">
            <v>Power Supply, AC/DC, Single Output 85-305Vac, Output 5V@2A, Thru Hole</v>
          </cell>
          <cell r="E3139">
            <v>151.80000000000001</v>
          </cell>
          <cell r="G3139">
            <v>75</v>
          </cell>
        </row>
        <row r="3140">
          <cell r="A3140" t="str">
            <v>RND-MDP223-05</v>
          </cell>
          <cell r="B3140" t="str">
            <v>CAP, CER, 0.47uF +-10%, 50V, X5R, 0603</v>
          </cell>
          <cell r="E3140">
            <v>0.72</v>
          </cell>
          <cell r="G3140">
            <v>0</v>
          </cell>
        </row>
        <row r="3141">
          <cell r="A3141" t="str">
            <v>RND-MDP223-06</v>
          </cell>
          <cell r="B3141" t="str">
            <v>CAP, CER, 18pF +-5%, 100V, NP0, 0603</v>
          </cell>
          <cell r="E3141">
            <v>1.17</v>
          </cell>
          <cell r="G3141">
            <v>0</v>
          </cell>
        </row>
        <row r="3142">
          <cell r="A3142" t="str">
            <v>RND-MDP223-07</v>
          </cell>
          <cell r="B3142" t="str">
            <v>CAP, CER, 6.8nF +-10%, 50V, X7R, 0402</v>
          </cell>
          <cell r="E3142">
            <v>0.17</v>
          </cell>
          <cell r="G3142">
            <v>0</v>
          </cell>
        </row>
        <row r="3143">
          <cell r="A3143" t="str">
            <v>RND-MDP223-08</v>
          </cell>
          <cell r="B3143" t="str">
            <v>Diode, Schottky, 60V, 7A</v>
          </cell>
          <cell r="E3143">
            <v>8.56</v>
          </cell>
          <cell r="G3143">
            <v>0</v>
          </cell>
        </row>
        <row r="3144">
          <cell r="A3144" t="str">
            <v>RND-MDP223-09</v>
          </cell>
          <cell r="B3144" t="str">
            <v>Inductor, Ferrite Bead, 120 OHM, 0603 1LN</v>
          </cell>
          <cell r="E3144">
            <v>0.43</v>
          </cell>
          <cell r="G3144">
            <v>0</v>
          </cell>
        </row>
        <row r="3145">
          <cell r="A3145" t="str">
            <v>RND-MDP223-10</v>
          </cell>
          <cell r="B3145" t="str">
            <v>Conn, RCPT, 31pos, Outer Shroud Contacts, Surface Mount, Gold</v>
          </cell>
          <cell r="E3145">
            <v>31.93</v>
          </cell>
          <cell r="G3145">
            <v>0</v>
          </cell>
        </row>
        <row r="3146">
          <cell r="A3146" t="str">
            <v>RND-MDP223-11</v>
          </cell>
          <cell r="B3146" t="str">
            <v>Header, Unshrouded, Surface Mount, P1.27mm, 10pos</v>
          </cell>
          <cell r="E3146">
            <v>12.43</v>
          </cell>
          <cell r="G3146">
            <v>0</v>
          </cell>
        </row>
        <row r="3147">
          <cell r="A3147" t="str">
            <v>RND-MDP223-12</v>
          </cell>
          <cell r="B3147" t="str">
            <v>Conn, RCPT, Right Angle, Surface Mount, P1.50mm, 10pos</v>
          </cell>
          <cell r="E3147">
            <v>41.25</v>
          </cell>
          <cell r="G3147">
            <v>0</v>
          </cell>
        </row>
        <row r="3148">
          <cell r="A3148" t="str">
            <v>RND-MDP223-13</v>
          </cell>
          <cell r="B3148" t="str">
            <v>Conn, RCPT, Right Angle, Surface Mount, P1.50mm, 12pos</v>
          </cell>
          <cell r="E3148">
            <v>44.79</v>
          </cell>
          <cell r="G3148">
            <v>0</v>
          </cell>
        </row>
        <row r="3149">
          <cell r="A3149" t="str">
            <v>RND-MDP223-14</v>
          </cell>
          <cell r="B3149" t="str">
            <v>Conn, RCPT, Right Angle, Surface Mount, P1.50mm, 18pos</v>
          </cell>
          <cell r="E3149">
            <v>37.58</v>
          </cell>
          <cell r="G3149">
            <v>0</v>
          </cell>
        </row>
        <row r="3150">
          <cell r="A3150" t="str">
            <v>RND-MDP223-15</v>
          </cell>
          <cell r="B3150" t="str">
            <v>Conn, Header, Through Hole, P2.50mm, 3pos</v>
          </cell>
          <cell r="E3150">
            <v>2.04</v>
          </cell>
          <cell r="G3150">
            <v>75</v>
          </cell>
        </row>
        <row r="3151">
          <cell r="A3151" t="str">
            <v>RND-MDP223-16</v>
          </cell>
          <cell r="B3151" t="str">
            <v>Conn, RCPT, Through Hole, P2.54mm, 8pos, Gold</v>
          </cell>
          <cell r="E3151">
            <v>29.56</v>
          </cell>
          <cell r="G3151">
            <v>75</v>
          </cell>
        </row>
        <row r="3152">
          <cell r="A3152" t="str">
            <v>RND-MDP223-17</v>
          </cell>
          <cell r="B3152" t="str">
            <v>IND, Fixed, 3.3uH, 9.2A, 17.7MOHM</v>
          </cell>
          <cell r="E3152">
            <v>19.48</v>
          </cell>
          <cell r="G3152">
            <v>0</v>
          </cell>
        </row>
        <row r="3153">
          <cell r="A3153" t="str">
            <v>RND-MDP223-18</v>
          </cell>
          <cell r="B3153" t="str">
            <v>LED, Clear, Green, 2V, 1209</v>
          </cell>
          <cell r="E3153">
            <v>0.9</v>
          </cell>
          <cell r="G3153">
            <v>0</v>
          </cell>
        </row>
        <row r="3154">
          <cell r="A3154" t="str">
            <v>RND-MDP223-19</v>
          </cell>
          <cell r="B3154" t="str">
            <v>LED, Clear, Green/Yellow, 1.9V, 1209</v>
          </cell>
          <cell r="E3154">
            <v>2.7</v>
          </cell>
          <cell r="G3154">
            <v>0</v>
          </cell>
        </row>
        <row r="3155">
          <cell r="A3155" t="str">
            <v>RND-MDP223-20</v>
          </cell>
          <cell r="B3155" t="str">
            <v>LED, Clear, Red, 2V, 1209</v>
          </cell>
          <cell r="E3155">
            <v>0.83</v>
          </cell>
          <cell r="G3155">
            <v>0</v>
          </cell>
        </row>
        <row r="3156">
          <cell r="A3156" t="str">
            <v>RND-MDP223-21</v>
          </cell>
          <cell r="B3156" t="str">
            <v>LED, Clear, Yellow, 2V, 1209</v>
          </cell>
          <cell r="E3156">
            <v>0.86</v>
          </cell>
          <cell r="G3156">
            <v>0</v>
          </cell>
        </row>
        <row r="3157">
          <cell r="A3157" t="str">
            <v>RND-MDP223-22</v>
          </cell>
          <cell r="B3157" t="str">
            <v>Conn, Jack, 1Port, RJ45, Through Hole, Base-T</v>
          </cell>
          <cell r="E3157">
            <v>51.84</v>
          </cell>
          <cell r="G3157">
            <v>55</v>
          </cell>
        </row>
        <row r="3158">
          <cell r="A3158" t="str">
            <v>RND-MDP223-23</v>
          </cell>
          <cell r="B3158" t="str">
            <v>RES, 0.03 OHM +-1%, 1/2W, 0805</v>
          </cell>
          <cell r="E3158">
            <v>4.42</v>
          </cell>
          <cell r="G3158">
            <v>0</v>
          </cell>
        </row>
        <row r="3159">
          <cell r="A3159" t="str">
            <v>RND-MDP223-24</v>
          </cell>
          <cell r="B3159" t="str">
            <v>RES, 100 OHM +-5%, 0.1 W, 0603</v>
          </cell>
          <cell r="E3159">
            <v>0.08</v>
          </cell>
          <cell r="G3159">
            <v>0</v>
          </cell>
        </row>
        <row r="3160">
          <cell r="A3160" t="str">
            <v>RND-MDP223-25</v>
          </cell>
          <cell r="B3160" t="str">
            <v>RES, 49.9 OHM +-1%, 1/16W, 0402</v>
          </cell>
          <cell r="E3160">
            <v>0.05</v>
          </cell>
          <cell r="G3160">
            <v>0</v>
          </cell>
        </row>
        <row r="3161">
          <cell r="A3161" t="str">
            <v>RND-MDP223-26</v>
          </cell>
          <cell r="B3161" t="str">
            <v>RES, 12.4K OHM +-1%, 1/16W, 0402</v>
          </cell>
          <cell r="E3161">
            <v>0.05</v>
          </cell>
          <cell r="G3161">
            <v>0</v>
          </cell>
        </row>
        <row r="3162">
          <cell r="A3162" t="str">
            <v>RND-MDP223-27</v>
          </cell>
          <cell r="B3162" t="str">
            <v>IC, Switch, I2C Controlled, Single Cell, 4.5V, 3A</v>
          </cell>
          <cell r="E3162">
            <v>48.58</v>
          </cell>
          <cell r="G3162">
            <v>0</v>
          </cell>
        </row>
        <row r="3163">
          <cell r="A3163" t="str">
            <v>RND-MDP223-28</v>
          </cell>
          <cell r="B3163" t="str">
            <v>LED, Adressable, RGB, 4-Pin SMD, 3.5-5.3V</v>
          </cell>
          <cell r="E3163">
            <v>80.55</v>
          </cell>
          <cell r="G3163">
            <v>0</v>
          </cell>
        </row>
        <row r="3164">
          <cell r="A3164" t="str">
            <v>RND-MDP223-29</v>
          </cell>
          <cell r="B3164" t="str">
            <v>IC, PWR Switch, P-CH1:1, SOT23-5</v>
          </cell>
          <cell r="E3164">
            <v>5.04</v>
          </cell>
          <cell r="G3164">
            <v>0</v>
          </cell>
        </row>
        <row r="3165">
          <cell r="A3165" t="str">
            <v>RND-MDP223-30</v>
          </cell>
          <cell r="B3165" t="str">
            <v>IC, Ethernet Controller, TCP/IP, 48LQFP</v>
          </cell>
          <cell r="E3165">
            <v>43.61</v>
          </cell>
          <cell r="G3165">
            <v>0</v>
          </cell>
        </row>
        <row r="3166">
          <cell r="A3166" t="str">
            <v>RND-MDP223-31</v>
          </cell>
          <cell r="B3166" t="str">
            <v>IC, Flash, 1GBit, SPI, 104MHz, 8-WSON</v>
          </cell>
          <cell r="E3166">
            <v>56.88</v>
          </cell>
          <cell r="G3166">
            <v>0</v>
          </cell>
        </row>
        <row r="3167">
          <cell r="A3167" t="str">
            <v>RND-MDP223-32</v>
          </cell>
          <cell r="B3167" t="str">
            <v>IC, GATE &amp; 4CH 2-INP, 14TSSOP</v>
          </cell>
          <cell r="E3167">
            <v>1.89</v>
          </cell>
          <cell r="G3167">
            <v>0</v>
          </cell>
        </row>
        <row r="3168">
          <cell r="A3168" t="str">
            <v>RND-MDP223-33</v>
          </cell>
          <cell r="B3168" t="str">
            <v>Crystal, CER, 25.0000MHZ, 18PF, SMD</v>
          </cell>
          <cell r="E3168">
            <v>18.18</v>
          </cell>
          <cell r="G3168">
            <v>0</v>
          </cell>
        </row>
        <row r="3169">
          <cell r="A3169" t="str">
            <v>RND-MDP223-34</v>
          </cell>
          <cell r="B3169" t="str">
            <v>Conn, Plug, Surface Mount, P1.00mm, 31pos, Gold</v>
          </cell>
          <cell r="E3169">
            <v>31.93</v>
          </cell>
          <cell r="G3169">
            <v>0</v>
          </cell>
        </row>
        <row r="3170">
          <cell r="A3170" t="str">
            <v>RND-MDP223-35</v>
          </cell>
          <cell r="B3170" t="str">
            <v>Transistor, Mosfet, P-CH, 30V, 18A, SMD, 1212-8</v>
          </cell>
          <cell r="E3170">
            <v>7.03</v>
          </cell>
          <cell r="G3170">
            <v>0</v>
          </cell>
        </row>
        <row r="3171">
          <cell r="A3171" t="str">
            <v>RND-MDP223-36</v>
          </cell>
          <cell r="B3171" t="str">
            <v>CONN PLUG HSG 18POS 1.50MM</v>
          </cell>
          <cell r="E3171">
            <v>13.04</v>
          </cell>
          <cell r="G3171">
            <v>90</v>
          </cell>
        </row>
        <row r="3172">
          <cell r="A3172" t="str">
            <v>RND-MDP223-37</v>
          </cell>
          <cell r="B3172" t="str">
            <v>CONN PLUG HSG 12POS 1.50MM</v>
          </cell>
          <cell r="E3172">
            <v>6.33</v>
          </cell>
          <cell r="G3172">
            <v>90</v>
          </cell>
        </row>
        <row r="3173">
          <cell r="A3173" t="str">
            <v>RND-MDP223-38</v>
          </cell>
          <cell r="B3173" t="str">
            <v>CONN PLUG HSG 10POS 1.50MM</v>
          </cell>
          <cell r="E3173">
            <v>5.72</v>
          </cell>
          <cell r="G3173">
            <v>90</v>
          </cell>
        </row>
        <row r="3174">
          <cell r="A3174" t="str">
            <v>RND-MDP223-39</v>
          </cell>
          <cell r="B3174" t="str">
            <v>CONN SOCKET 18-24AWG CRIMP TIN</v>
          </cell>
          <cell r="E3174">
            <v>0.59</v>
          </cell>
          <cell r="G3174">
            <v>4000</v>
          </cell>
        </row>
        <row r="3175">
          <cell r="A3175" t="str">
            <v>RND-MDP223-40</v>
          </cell>
          <cell r="B3175" t="str">
            <v>CONN RCPT HSG 2POS 3.96MM</v>
          </cell>
          <cell r="E3175">
            <v>1.54</v>
          </cell>
          <cell r="G3175">
            <v>90</v>
          </cell>
        </row>
        <row r="3176">
          <cell r="A3176" t="str">
            <v>RND-MDP223-41</v>
          </cell>
          <cell r="B3176" t="str">
            <v>CONN SOCKET 18-22AWG CRIMP TIN</v>
          </cell>
          <cell r="E3176">
            <v>0.85</v>
          </cell>
          <cell r="G3176">
            <v>4500</v>
          </cell>
        </row>
        <row r="3177">
          <cell r="A3177" t="str">
            <v>RND-MDP223-42</v>
          </cell>
          <cell r="B3177" t="str">
            <v>CONN RCPT HSG 3POS 2.50MM</v>
          </cell>
          <cell r="E3177">
            <v>1.21</v>
          </cell>
          <cell r="G3177">
            <v>90</v>
          </cell>
        </row>
        <row r="3178">
          <cell r="A3178" t="str">
            <v>RND-MDP223-43</v>
          </cell>
          <cell r="B3178" t="str">
            <v>CONN SOCKET 22-28AWG CRIMP TIN</v>
          </cell>
          <cell r="E3178">
            <v>0.54</v>
          </cell>
          <cell r="G3178">
            <v>7985</v>
          </cell>
        </row>
        <row r="3179">
          <cell r="A3179" t="str">
            <v>RND-MDP223-44</v>
          </cell>
          <cell r="B3179" t="str">
            <v>CONN RCPT HSG 3POS 2.50MM</v>
          </cell>
          <cell r="E3179">
            <v>1.98</v>
          </cell>
          <cell r="G3179">
            <v>90</v>
          </cell>
        </row>
        <row r="3180">
          <cell r="A3180" t="str">
            <v>RND-MDP223-45</v>
          </cell>
          <cell r="B3180" t="str">
            <v>CONN HEADER VERT 3POS 2.5MM</v>
          </cell>
          <cell r="E3180">
            <v>2.44</v>
          </cell>
          <cell r="G3180">
            <v>90</v>
          </cell>
        </row>
        <row r="3181">
          <cell r="A3181" t="str">
            <v>RND-MDP223-46</v>
          </cell>
          <cell r="B3181" t="str">
            <v>CONN SOCKET 22-28AWG CRIMP TIN</v>
          </cell>
          <cell r="E3181">
            <v>0.89</v>
          </cell>
          <cell r="G3181">
            <v>985</v>
          </cell>
        </row>
        <row r="3182">
          <cell r="A3182" t="str">
            <v>RND-MDP223-47</v>
          </cell>
          <cell r="B3182" t="str">
            <v>CONN SMA PLUG STR 50 OHM SOLDER</v>
          </cell>
          <cell r="E3182">
            <v>52.72</v>
          </cell>
          <cell r="G3182">
            <v>285</v>
          </cell>
        </row>
        <row r="3183">
          <cell r="A3183" t="str">
            <v>RND-MDP223-48</v>
          </cell>
          <cell r="B3183" t="str">
            <v>Standoff, 4,0 Dia.x30mm, Male-Male, Clip-on, Plastic</v>
          </cell>
          <cell r="E3183">
            <v>6.36</v>
          </cell>
          <cell r="G3183">
            <v>480</v>
          </cell>
        </row>
        <row r="3184">
          <cell r="A3184" t="str">
            <v>RND-MDP224-01</v>
          </cell>
          <cell r="B3184" t="str">
            <v>PANEL MOUNT DIGITAL 100V / 50A METER</v>
          </cell>
          <cell r="E3184">
            <v>180</v>
          </cell>
          <cell r="G3184">
            <v>0</v>
          </cell>
        </row>
        <row r="3185">
          <cell r="A3185" t="str">
            <v>RND-MDP224-02</v>
          </cell>
          <cell r="B3185" t="str">
            <v>CURRENT SHUNT 50A-75mV</v>
          </cell>
          <cell r="E3185">
            <v>85</v>
          </cell>
          <cell r="G3185">
            <v>0</v>
          </cell>
        </row>
        <row r="3186">
          <cell r="A3186" t="str">
            <v>RND-MDP226-01</v>
          </cell>
          <cell r="B3186" t="str">
            <v>100X40X3 TRUNKING 3M</v>
          </cell>
          <cell r="E3186">
            <v>202.5</v>
          </cell>
          <cell r="G3186">
            <v>0</v>
          </cell>
        </row>
        <row r="3187">
          <cell r="A3187" t="str">
            <v>RND-MDP228-01</v>
          </cell>
          <cell r="B3187" t="str">
            <v>12VDC  32" T2S2 Smart LED TV</v>
          </cell>
          <cell r="E3187">
            <v>1709.64</v>
          </cell>
          <cell r="G3187">
            <v>0</v>
          </cell>
        </row>
        <row r="3188">
          <cell r="A3188" t="str">
            <v>RND-MDP228-02</v>
          </cell>
          <cell r="B3188" t="str">
            <v>12VDC 32" MVA+2800R Smart LED TV</v>
          </cell>
          <cell r="E3188">
            <v>2142.7399999999998</v>
          </cell>
          <cell r="G3188">
            <v>0</v>
          </cell>
        </row>
        <row r="3189">
          <cell r="A3189" t="str">
            <v>RND-MDP230-01</v>
          </cell>
          <cell r="B3189" t="str">
            <v>PCB, ESP, MC2.0Draft1.0</v>
          </cell>
          <cell r="E3189">
            <v>0</v>
          </cell>
          <cell r="G3189">
            <v>0</v>
          </cell>
        </row>
        <row r="3190">
          <cell r="A3190" t="str">
            <v>RND-MDP230-02</v>
          </cell>
          <cell r="B3190" t="str">
            <v>PCB, LTE, MC2.0Draft1.0</v>
          </cell>
          <cell r="E3190">
            <v>0</v>
          </cell>
          <cell r="G3190">
            <v>0</v>
          </cell>
        </row>
        <row r="3191">
          <cell r="A3191" t="str">
            <v>RND-MDP230-03</v>
          </cell>
          <cell r="B3191" t="str">
            <v>PCB, BASE, MC2.0Draft1.0</v>
          </cell>
          <cell r="E3191">
            <v>0</v>
          </cell>
          <cell r="G3191">
            <v>0</v>
          </cell>
        </row>
        <row r="3192">
          <cell r="A3192" t="str">
            <v>RND-MDP231-01</v>
          </cell>
          <cell r="B3192" t="str">
            <v>Enclosure, Surface mount DB, 54Way</v>
          </cell>
          <cell r="E3192">
            <v>1390.7</v>
          </cell>
          <cell r="G3192">
            <v>0</v>
          </cell>
        </row>
        <row r="3193">
          <cell r="A3193" t="str">
            <v>RND-MDP232-01</v>
          </cell>
          <cell r="B3193" t="str">
            <v>USB3.0 4-PORT HUB</v>
          </cell>
          <cell r="E3193">
            <v>350</v>
          </cell>
          <cell r="G3193">
            <v>0</v>
          </cell>
        </row>
        <row r="3194">
          <cell r="A3194" t="str">
            <v>RND-MDP232-02</v>
          </cell>
          <cell r="B3194" t="str">
            <v>8-CHANNEL 5V RELAY MODULE WITH OPTOCOUPLER</v>
          </cell>
          <cell r="E3194">
            <v>180</v>
          </cell>
          <cell r="G3194">
            <v>0</v>
          </cell>
        </row>
        <row r="3195">
          <cell r="A3195" t="str">
            <v>RND-MDP232-03</v>
          </cell>
          <cell r="B3195" t="str">
            <v>RES 50W ALU W/W 5% 0E1</v>
          </cell>
          <cell r="E3195">
            <v>40</v>
          </cell>
          <cell r="G3195">
            <v>0</v>
          </cell>
        </row>
        <row r="3196">
          <cell r="A3196" t="str">
            <v>RND-MDP232-04</v>
          </cell>
          <cell r="B3196" t="str">
            <v>DC / AC CURRENT DETECTOR BOARD 30A</v>
          </cell>
          <cell r="E3196">
            <v>54.5</v>
          </cell>
          <cell r="G3196">
            <v>0</v>
          </cell>
        </row>
        <row r="3197">
          <cell r="A3197" t="str">
            <v>RND-MDP232-05</v>
          </cell>
          <cell r="B3197" t="str">
            <v>SOCKET SIL STR HOUSED 2.54 40W</v>
          </cell>
          <cell r="E3197">
            <v>3.5</v>
          </cell>
          <cell r="G3197">
            <v>0</v>
          </cell>
        </row>
        <row r="3198">
          <cell r="A3198" t="str">
            <v>RND-MDP232-06</v>
          </cell>
          <cell r="B3198" t="str">
            <v>RES M/FILM 1/2W 1% IN 1/4W BODY 10K</v>
          </cell>
          <cell r="E3198">
            <v>0.03</v>
          </cell>
          <cell r="G3198">
            <v>0</v>
          </cell>
        </row>
        <row r="3199">
          <cell r="A3199" t="str">
            <v>RND-MDP232-07</v>
          </cell>
          <cell r="B3199" t="str">
            <v>FET N-C TO220 55V 41A 0E022</v>
          </cell>
          <cell r="E3199">
            <v>25</v>
          </cell>
          <cell r="G3199">
            <v>0</v>
          </cell>
        </row>
        <row r="3200">
          <cell r="A3200" t="str">
            <v>RND-MDP232-08</v>
          </cell>
          <cell r="B3200" t="str">
            <v>HEATSINK TO220 O-S 15x17xH25</v>
          </cell>
          <cell r="E3200">
            <v>10</v>
          </cell>
          <cell r="G3200">
            <v>0</v>
          </cell>
        </row>
        <row r="3201">
          <cell r="A3201" t="str">
            <v>RND-MDP232-09</v>
          </cell>
          <cell r="B3201" t="str">
            <v>HEADER SIL STR 40W 2.54 TH=17mm</v>
          </cell>
          <cell r="E3201">
            <v>2.5</v>
          </cell>
          <cell r="G3201">
            <v>0</v>
          </cell>
        </row>
        <row r="3202">
          <cell r="A3202" t="str">
            <v>RND-MDP232-10</v>
          </cell>
          <cell r="B3202" t="str">
            <v>RESISTOR 1/2W RND M/F 1% 22K</v>
          </cell>
          <cell r="E3202">
            <v>0.5</v>
          </cell>
          <cell r="G3202">
            <v>0</v>
          </cell>
        </row>
        <row r="3203">
          <cell r="A3203" t="str">
            <v>RND-MDP232-11</v>
          </cell>
          <cell r="B3203" t="str">
            <v>SOCK DC IN-LINE 2.5x5.5x09mm</v>
          </cell>
          <cell r="E3203">
            <v>6</v>
          </cell>
          <cell r="G3203">
            <v>0</v>
          </cell>
        </row>
        <row r="3204">
          <cell r="A3204" t="str">
            <v>RND-MDP232-12</v>
          </cell>
          <cell r="B3204" t="str">
            <v>RES METAL FILM 1/4W 1% 1K1</v>
          </cell>
          <cell r="E3204">
            <v>4.9500000000000002E-2</v>
          </cell>
          <cell r="G3204">
            <v>0</v>
          </cell>
        </row>
        <row r="3205">
          <cell r="A3205" t="str">
            <v>RND-MDP232-13</v>
          </cell>
          <cell r="B3205" t="str">
            <v>RES METAL FILM 1/4W 1% 100E</v>
          </cell>
          <cell r="E3205">
            <v>0.38</v>
          </cell>
          <cell r="G3205">
            <v>0</v>
          </cell>
        </row>
        <row r="3206">
          <cell r="A3206" t="str">
            <v>RND-MDP232-14</v>
          </cell>
          <cell r="B3206" t="str">
            <v>RES 1/2W RND M/F 1% 1/4W 200E</v>
          </cell>
          <cell r="E3206">
            <v>0.3</v>
          </cell>
          <cell r="G3206">
            <v>0</v>
          </cell>
        </row>
        <row r="3207">
          <cell r="A3207" t="str">
            <v>RND-MDP232-15</v>
          </cell>
          <cell r="B3207" t="str">
            <v>CAP CER M/L Y5V 100nF 50V P=7.5mm</v>
          </cell>
          <cell r="E3207">
            <v>100</v>
          </cell>
          <cell r="G3207">
            <v>0</v>
          </cell>
        </row>
        <row r="3208">
          <cell r="A3208" t="str">
            <v>RND-MDP232-16</v>
          </cell>
          <cell r="B3208" t="str">
            <v>OP-AMP DIP08</v>
          </cell>
          <cell r="E3208">
            <v>10</v>
          </cell>
          <cell r="G3208">
            <v>0</v>
          </cell>
        </row>
        <row r="3209">
          <cell r="A3209" t="str">
            <v>RND-MDP232-17</v>
          </cell>
          <cell r="B3209" t="str">
            <v>RES 1/2W RND M/F 1% 1/4W 1K0</v>
          </cell>
          <cell r="E3209">
            <v>0.32</v>
          </cell>
          <cell r="G3209">
            <v>0</v>
          </cell>
        </row>
        <row r="3210">
          <cell r="A3210" t="str">
            <v>RND-MDP232-18</v>
          </cell>
          <cell r="B3210" t="str">
            <v>SCREW TERMINAL BLOCK N/C PCB 2W 2.54 STRAIGHT</v>
          </cell>
          <cell r="E3210">
            <v>4</v>
          </cell>
          <cell r="G3210">
            <v>0</v>
          </cell>
        </row>
        <row r="3211">
          <cell r="A3211" t="str">
            <v>RND-MDP232-19</v>
          </cell>
          <cell r="B3211" t="str">
            <v>IC SOCKET 0.3 8W TULIP RND NARROW - OPEN TUBE</v>
          </cell>
          <cell r="E3211">
            <v>3</v>
          </cell>
          <cell r="G3211">
            <v>0</v>
          </cell>
        </row>
        <row r="3212">
          <cell r="A3212" t="str">
            <v>RND-MDP232-20</v>
          </cell>
          <cell r="B3212" t="str">
            <v>JUMPER LEADS 200mm 40W SOCKET-SOCKET F/F</v>
          </cell>
          <cell r="E3212">
            <v>30</v>
          </cell>
          <cell r="G3212">
            <v>0</v>
          </cell>
        </row>
        <row r="3213">
          <cell r="A3213" t="str">
            <v>RND-MDP233-01</v>
          </cell>
          <cell r="B3213" t="str">
            <v>Cat5E 24#2P UTP Black Network Cable</v>
          </cell>
          <cell r="E3213">
            <v>252.75</v>
          </cell>
          <cell r="G3213">
            <v>0</v>
          </cell>
        </row>
        <row r="3214">
          <cell r="A3214" t="str">
            <v>RND-MDP234-01</v>
          </cell>
          <cell r="B3214" t="str">
            <v>100 MIL TEST PROBE RECEPTACLE SOLDER CLIP L=24mm</v>
          </cell>
          <cell r="E3214">
            <v>8</v>
          </cell>
          <cell r="G3214">
            <v>0</v>
          </cell>
        </row>
        <row r="3215">
          <cell r="A3215" t="str">
            <v>RND-MDP234-02</v>
          </cell>
          <cell r="B3215" t="str">
            <v>SPRING LOADED PROBE / 1.5mm SPEAR CONTACT 3A L=24m</v>
          </cell>
          <cell r="E3215">
            <v>6.6</v>
          </cell>
          <cell r="G3215">
            <v>0</v>
          </cell>
        </row>
        <row r="3216">
          <cell r="A3216" t="str">
            <v>RND-MDP234-03</v>
          </cell>
          <cell r="B3216" t="str">
            <v>SPRING LOADED PROBE / CONTACT 3A 1.5x24.5mm</v>
          </cell>
          <cell r="E3216">
            <v>5.49</v>
          </cell>
          <cell r="G3216">
            <v>0</v>
          </cell>
        </row>
        <row r="3217">
          <cell r="A3217" t="str">
            <v>RND-MDP234-04</v>
          </cell>
          <cell r="B3217" t="str">
            <v>LEAD BANANA PLUG-CROC YELLOW</v>
          </cell>
          <cell r="E3217">
            <v>48.99</v>
          </cell>
          <cell r="G3217">
            <v>0</v>
          </cell>
        </row>
        <row r="3218">
          <cell r="A3218" t="str">
            <v>RND-MDP234-05</v>
          </cell>
          <cell r="B3218" t="str">
            <v>LEAD BANANA PLUG-CROC GREEN</v>
          </cell>
          <cell r="E3218">
            <v>44.4</v>
          </cell>
          <cell r="G3218">
            <v>0</v>
          </cell>
        </row>
        <row r="3219">
          <cell r="A3219" t="str">
            <v>RND-MDP234-06</v>
          </cell>
          <cell r="B3219" t="str">
            <v>PVC INSULATION TAPE 17mm 20m 0.13mm BLACK</v>
          </cell>
          <cell r="E3219">
            <v>30</v>
          </cell>
          <cell r="G3219">
            <v>0</v>
          </cell>
        </row>
        <row r="3220">
          <cell r="A3220" t="str">
            <v>RND-MDP234-07</v>
          </cell>
          <cell r="B3220" t="str">
            <v>PVC INSULATION TAPE 17mm 20m 0.13mm RED</v>
          </cell>
          <cell r="E3220">
            <v>22.02</v>
          </cell>
          <cell r="G3220">
            <v>0</v>
          </cell>
        </row>
        <row r="3221">
          <cell r="A3221" t="str">
            <v>RND-MDP234-08</v>
          </cell>
          <cell r="B3221" t="str">
            <v>GLUE STICK 7.0x100mm-LOOSE</v>
          </cell>
          <cell r="E3221">
            <v>0.96</v>
          </cell>
          <cell r="G3221">
            <v>0</v>
          </cell>
        </row>
        <row r="3222">
          <cell r="A3222" t="str">
            <v>RND-MDP235-01</v>
          </cell>
          <cell r="B3222" t="str">
            <v>Inverter, RiiO Sun II, 6kVA-S, 230 VAC, 48VDC</v>
          </cell>
          <cell r="E3222">
            <v>13584.25</v>
          </cell>
          <cell r="G3222">
            <v>0</v>
          </cell>
        </row>
        <row r="3223">
          <cell r="A3223" t="str">
            <v>RND-MDP235-02</v>
          </cell>
          <cell r="B3223" t="str">
            <v>Inverter, RiiO Sun II, 8kVA-S, 230 VAC, 48VDC</v>
          </cell>
          <cell r="E3223">
            <v>15609.6</v>
          </cell>
          <cell r="G3223">
            <v>0</v>
          </cell>
        </row>
        <row r="3224">
          <cell r="A3224" t="str">
            <v>RND-MDP235-03</v>
          </cell>
          <cell r="B3224" t="str">
            <v>TBB WIFI II COMMUNICATION DONGLE</v>
          </cell>
          <cell r="E3224">
            <v>0.01</v>
          </cell>
          <cell r="G3224">
            <v>0</v>
          </cell>
        </row>
        <row r="3225">
          <cell r="A3225" t="str">
            <v>RND-MDP238-01</v>
          </cell>
          <cell r="B3225" t="str">
            <v>DC TV, 19inch (SR-TV19)</v>
          </cell>
          <cell r="E3225">
            <v>1823.675</v>
          </cell>
          <cell r="G3225">
            <v>0</v>
          </cell>
        </row>
        <row r="3226">
          <cell r="A3226" t="str">
            <v>RND-MDP238-02</v>
          </cell>
          <cell r="B3226" t="str">
            <v>DC TV, 24inch, Smart (SR-smart TV24)</v>
          </cell>
          <cell r="E3226">
            <v>3753.07</v>
          </cell>
          <cell r="G3226">
            <v>0</v>
          </cell>
        </row>
        <row r="3227">
          <cell r="A3227" t="str">
            <v>RND-MDP238-03</v>
          </cell>
          <cell r="B3227" t="str">
            <v>DC TV, 32inch, Smart (SR-smart TV32)</v>
          </cell>
          <cell r="E3227">
            <v>4870.0749999999998</v>
          </cell>
          <cell r="G3227">
            <v>0</v>
          </cell>
        </row>
        <row r="3228">
          <cell r="A3228" t="str">
            <v>RND-MDP238-04</v>
          </cell>
          <cell r="B3228" t="str">
            <v>Mbox SR32B (incl. 80W PV, 3x3W Bulbs, 1x5-in-1 Charger cable)</v>
          </cell>
          <cell r="E3228">
            <v>6526.9</v>
          </cell>
          <cell r="G3228">
            <v>0</v>
          </cell>
        </row>
        <row r="3229">
          <cell r="A3229" t="str">
            <v>RND-MDP238-05</v>
          </cell>
          <cell r="B3229" t="str">
            <v>DC CCTV Camera (SR-CM01)</v>
          </cell>
          <cell r="E3229">
            <v>1199.9349999999999</v>
          </cell>
          <cell r="G3229">
            <v>0</v>
          </cell>
        </row>
        <row r="3230">
          <cell r="A3230" t="str">
            <v>RND-MDP238-06</v>
          </cell>
          <cell r="B3230" t="str">
            <v>DC Laptop, 12inch (SR-LP12)</v>
          </cell>
          <cell r="E3230">
            <v>7182.84</v>
          </cell>
          <cell r="G3230">
            <v>0</v>
          </cell>
        </row>
        <row r="3231">
          <cell r="A3231" t="str">
            <v>RND-MDP238-07</v>
          </cell>
          <cell r="B3231" t="str">
            <v>Solar Media SR77B (incl. 20W PV, 3x3W Bulbs, 1x5-in-1 Charger cable)</v>
          </cell>
          <cell r="E3231">
            <v>3222.81</v>
          </cell>
          <cell r="G3231">
            <v>0</v>
          </cell>
        </row>
        <row r="3232">
          <cell r="A3232" t="str">
            <v>RND-MDP238-08</v>
          </cell>
          <cell r="B3232" t="str">
            <v>Apollo SR31B (incl. 40W PV, 3x3W Bulbs, 1x5-in-1 Charger cable)</v>
          </cell>
          <cell r="E3232">
            <v>3263.81</v>
          </cell>
          <cell r="G3232">
            <v>0</v>
          </cell>
        </row>
        <row r="3233">
          <cell r="A3233" t="str">
            <v>RND-MDP238-09</v>
          </cell>
          <cell r="B3233" t="str">
            <v>3W Bulb (w switch cable)</v>
          </cell>
          <cell r="E3233">
            <v>0.41332999999999998</v>
          </cell>
          <cell r="G3233">
            <v>0</v>
          </cell>
        </row>
        <row r="3234">
          <cell r="A3234" t="str">
            <v>RND-MDP240-01</v>
          </cell>
          <cell r="B3234" t="str">
            <v>Geyser Controller, TSE Display</v>
          </cell>
          <cell r="E3234">
            <v>243</v>
          </cell>
          <cell r="G3234">
            <v>0</v>
          </cell>
        </row>
        <row r="3235">
          <cell r="A3235" t="str">
            <v>RND-MDP240-02</v>
          </cell>
          <cell r="B3235" t="str">
            <v>Geyser Controller, TSE Power Supply</v>
          </cell>
          <cell r="E3235">
            <v>495</v>
          </cell>
          <cell r="G3235">
            <v>0</v>
          </cell>
        </row>
        <row r="3236">
          <cell r="A3236" t="str">
            <v>RND-MDP242-01</v>
          </cell>
          <cell r="B3236" t="str">
            <v>16.0MM SILICONE TINNED FLEX RED OD 12MM</v>
          </cell>
          <cell r="E3236">
            <v>88.95</v>
          </cell>
          <cell r="G3236">
            <v>0</v>
          </cell>
        </row>
        <row r="3237">
          <cell r="A3237" t="str">
            <v>RND-MDP242-02</v>
          </cell>
          <cell r="B3237" t="str">
            <v>16.0MM SILICONE TINNED FLEX BLACK OD 12MM</v>
          </cell>
          <cell r="E3237">
            <v>88.95</v>
          </cell>
          <cell r="G3237">
            <v>0</v>
          </cell>
        </row>
        <row r="3238">
          <cell r="A3238" t="str">
            <v>RND-MDP242-03</v>
          </cell>
          <cell r="B3238" t="str">
            <v>25.0MM SILICONE TINNED FLEX BLACK</v>
          </cell>
          <cell r="E3238">
            <v>181.15</v>
          </cell>
          <cell r="G3238">
            <v>0</v>
          </cell>
        </row>
        <row r="3239">
          <cell r="A3239" t="str">
            <v>RND-MDP244-01</v>
          </cell>
          <cell r="B3239" t="str">
            <v>TBB RIIO SUN II 8.0S 48V INVERTER 8KVA|90A|MPPT 250V-100A</v>
          </cell>
          <cell r="E3239">
            <v>17467.89</v>
          </cell>
          <cell r="G3239">
            <v>0</v>
          </cell>
        </row>
        <row r="3240">
          <cell r="A3240" t="str">
            <v>RND-MDP245-01</v>
          </cell>
          <cell r="B3240" t="str">
            <v>TBB RIIO SUN II 6KVA-S 48V INVERTER</v>
          </cell>
          <cell r="E3240">
            <v>15201.44</v>
          </cell>
          <cell r="G3240">
            <v>0</v>
          </cell>
        </row>
        <row r="3241">
          <cell r="A3241" t="str">
            <v>RND-MDP246-01</v>
          </cell>
          <cell r="B3241" t="str">
            <v>SOLIS EXPORT POWER MANAGER 3 -EPM3-5G FOR IG30</v>
          </cell>
          <cell r="E3241">
            <v>7900</v>
          </cell>
          <cell r="G3241">
            <v>1</v>
          </cell>
        </row>
        <row r="3242">
          <cell r="A3242" t="str">
            <v>RND-MDP251-01</v>
          </cell>
          <cell r="B3242" t="str">
            <v>Smart WiFi Geyser timer Breaker 63A+energy metering+Smart App</v>
          </cell>
          <cell r="E3242">
            <v>303.48</v>
          </cell>
          <cell r="G3242">
            <v>0</v>
          </cell>
        </row>
        <row r="3243">
          <cell r="A3243" t="str">
            <v>RND-MDP251-02</v>
          </cell>
          <cell r="B3243" t="str">
            <v>Smart WiFi Geyser timer-with energy metering -Smart Life/Tuya app</v>
          </cell>
          <cell r="E3243">
            <v>320.87</v>
          </cell>
          <cell r="G3243">
            <v>0</v>
          </cell>
        </row>
        <row r="3244">
          <cell r="A3244" t="str">
            <v>RND-MDP256-01</v>
          </cell>
          <cell r="B3244" t="str">
            <v>PSS-SG-HB5.6_BST Sample (Stackable SSEG)</v>
          </cell>
          <cell r="E3244">
            <v>0</v>
          </cell>
          <cell r="G3244">
            <v>0</v>
          </cell>
        </row>
        <row r="3245">
          <cell r="A3245" t="str">
            <v>RND-MDP257-01</v>
          </cell>
          <cell r="B3245" t="str">
            <v>D6014-100_6mm YELLOW TWIN BOOTLACE FERRULES/100</v>
          </cell>
          <cell r="E3245">
            <v>64.5</v>
          </cell>
          <cell r="G3245">
            <v>0</v>
          </cell>
        </row>
        <row r="3246">
          <cell r="A3246" t="str">
            <v>RND-MDP257-02</v>
          </cell>
          <cell r="B3246" t="str">
            <v>6127/A_PINCHWELD - 12mm TRIM</v>
          </cell>
          <cell r="E3246">
            <v>25.85</v>
          </cell>
          <cell r="G3246">
            <v>0</v>
          </cell>
        </row>
        <row r="3247">
          <cell r="A3247" t="str">
            <v>RND-MDP257-03</v>
          </cell>
          <cell r="B3247" t="str">
            <v>PHPM16B_M16 SCREW-IN BLANKING PLUGS (BLK)</v>
          </cell>
          <cell r="E3247">
            <v>2.75</v>
          </cell>
          <cell r="G3247">
            <v>0</v>
          </cell>
        </row>
        <row r="3248">
          <cell r="A3248" t="str">
            <v>RND-MDP257-04</v>
          </cell>
          <cell r="B3248" t="str">
            <v>PHPM40B_M40 SCREW-IN BLANKING PLUGS (BLK)</v>
          </cell>
          <cell r="E3248">
            <v>16.45</v>
          </cell>
          <cell r="G3248">
            <v>0</v>
          </cell>
        </row>
        <row r="3249">
          <cell r="A3249" t="str">
            <v>RND-METAL-ENDS</v>
          </cell>
          <cell r="B3249" t="str">
            <v>METAL ENDS - BATTERY PACKS FOR VOLTA 6K</v>
          </cell>
          <cell r="E3249">
            <v>38.64</v>
          </cell>
          <cell r="G3249">
            <v>0</v>
          </cell>
        </row>
        <row r="3250">
          <cell r="A3250" t="str">
            <v>RND-MID-PLANE-V3</v>
          </cell>
          <cell r="B3250" t="str">
            <v>MID PLANE V3</v>
          </cell>
          <cell r="E3250">
            <v>75</v>
          </cell>
          <cell r="G3250">
            <v>0</v>
          </cell>
        </row>
        <row r="3251">
          <cell r="A3251" t="str">
            <v>RND-MMBT2484LT1G</v>
          </cell>
          <cell r="B3251" t="str">
            <v>TRANS NPN 60V 0.1A SOT23-3</v>
          </cell>
          <cell r="E3251">
            <v>5.1100000000000003</v>
          </cell>
          <cell r="G3251">
            <v>0</v>
          </cell>
        </row>
        <row r="3252">
          <cell r="A3252" t="str">
            <v>RND-MS-E4-BAT-CONTRL</v>
          </cell>
          <cell r="B3252" t="str">
            <v>E4 BATTERY CONTROLLER COVER</v>
          </cell>
          <cell r="E3252">
            <v>98</v>
          </cell>
          <cell r="G3252">
            <v>0</v>
          </cell>
        </row>
        <row r="3253">
          <cell r="A3253" t="str">
            <v>RND-NUCLEO-H503RB</v>
          </cell>
          <cell r="B3253" t="str">
            <v>NUCLEO-H503RB - STM32 NUCLEO-64 DEVELOPMENT BOARD WITH STM32H503RBT6 MCU</v>
          </cell>
          <cell r="E3253">
            <v>285.75</v>
          </cell>
          <cell r="G3253">
            <v>0</v>
          </cell>
        </row>
        <row r="3254">
          <cell r="A3254" t="str">
            <v>RND-P100-4-55W</v>
          </cell>
          <cell r="B3254" t="str">
            <v>55W SOLAR PANEL + 102WH LITHIUM IRON PHOSPHATE BATTERY + 3X260 LUMENS LAMPS + RADIO + 1 X REMOTE SWI</v>
          </cell>
          <cell r="E3254">
            <v>23729.09</v>
          </cell>
          <cell r="G3254">
            <v>0</v>
          </cell>
        </row>
        <row r="3255">
          <cell r="A3255" t="str">
            <v>RND-P200-3-75W</v>
          </cell>
          <cell r="B3255" t="str">
            <v>75W CRYSTALLINE SOLAR PANEL WITH 5M CABLE, 205WH LFP BATTERY, 6X260 LUMEN LED BULS, 1 X REMOTE SWITC</v>
          </cell>
          <cell r="E3255">
            <v>52934.71</v>
          </cell>
          <cell r="G3255">
            <v>0</v>
          </cell>
        </row>
        <row r="3256">
          <cell r="A3256" t="str">
            <v>RND-P25-0423</v>
          </cell>
          <cell r="B3256" t="str">
            <v>2.54MM CENTER TWO PART PROBE</v>
          </cell>
          <cell r="E3256">
            <v>62.02</v>
          </cell>
          <cell r="G3256">
            <v>0</v>
          </cell>
        </row>
        <row r="3257">
          <cell r="A3257" t="str">
            <v>RND-P25-4023</v>
          </cell>
          <cell r="B3257" t="str">
            <v>2.54MM CENTER TWO PART PROBE</v>
          </cell>
          <cell r="E3257">
            <v>119.96</v>
          </cell>
          <cell r="G3257">
            <v>0</v>
          </cell>
        </row>
        <row r="3258">
          <cell r="A3258" t="str">
            <v>RND-PALR-04VF</v>
          </cell>
          <cell r="B3258" t="str">
            <v xml:space="preserve">CONN PLUG HSG 4POS 2.00MM 455-1550-ND </v>
          </cell>
          <cell r="E3258">
            <v>2.77</v>
          </cell>
          <cell r="G3258">
            <v>0</v>
          </cell>
        </row>
        <row r="3259">
          <cell r="A3259" t="str">
            <v>RND-PAP-04V-S</v>
          </cell>
          <cell r="B3259" t="str">
            <v>CONN HOUSING PA 4POS 2MM WHITE 455-1488-ND</v>
          </cell>
          <cell r="E3259">
            <v>3.2818200000000002</v>
          </cell>
          <cell r="G3259">
            <v>0</v>
          </cell>
        </row>
        <row r="3260">
          <cell r="A3260" t="str">
            <v>RND-PARALLEL-CLAMP</v>
          </cell>
          <cell r="B3260" t="str">
            <v>PARALLEL CLAMP 300MM</v>
          </cell>
          <cell r="E3260">
            <v>413.04</v>
          </cell>
          <cell r="G3260">
            <v>0</v>
          </cell>
        </row>
        <row r="3261">
          <cell r="A3261" t="str">
            <v>RND-PCA6416AHF,128</v>
          </cell>
          <cell r="B3261" t="str">
            <v>IC I/O EXPANDER 16BIT 24HWQFN</v>
          </cell>
          <cell r="E3261">
            <v>28.89</v>
          </cell>
          <cell r="G3261">
            <v>0</v>
          </cell>
        </row>
        <row r="3262">
          <cell r="A3262" t="str">
            <v>RND-PDTA143ZT,215</v>
          </cell>
          <cell r="B3262" t="str">
            <v>TRANS PREBIAS PNP 50V TO236AB</v>
          </cell>
          <cell r="E3262">
            <v>3.49</v>
          </cell>
          <cell r="G3262">
            <v>0</v>
          </cell>
        </row>
        <row r="3263">
          <cell r="A3263" t="str">
            <v>RND-PDTC143ZU,115</v>
          </cell>
          <cell r="B3263" t="str">
            <v>TRANS PREBIAS NPN 50V SOT323 1727-1714-1-ND</v>
          </cell>
          <cell r="E3263">
            <v>2.8388599999999999</v>
          </cell>
          <cell r="G3263">
            <v>0</v>
          </cell>
        </row>
        <row r="3264">
          <cell r="A3264" t="str">
            <v>RND-PESD5V0L1BA-135</v>
          </cell>
          <cell r="B3264" t="str">
            <v>TVS DIODE 5VWM 33VC SOD323</v>
          </cell>
          <cell r="E3264">
            <v>8.8800000000000008</v>
          </cell>
          <cell r="G3264">
            <v>0</v>
          </cell>
        </row>
        <row r="3265">
          <cell r="A3265" t="str">
            <v>RND-PET-STRAPPING</v>
          </cell>
          <cell r="B3265" t="str">
            <v>PET STRAPPING - BATTERY PACKS FOR VOLTA 6K</v>
          </cell>
          <cell r="E3265">
            <v>34.96</v>
          </cell>
          <cell r="G3265">
            <v>0</v>
          </cell>
        </row>
        <row r="3266">
          <cell r="A3266" t="str">
            <v>RND-PJ-102A</v>
          </cell>
          <cell r="B3266" t="str">
            <v>CONN PWR JACK 2X5.5MM SOLDER</v>
          </cell>
          <cell r="E3266">
            <v>16.37</v>
          </cell>
          <cell r="G3266">
            <v>0</v>
          </cell>
        </row>
        <row r="3267">
          <cell r="A3267" t="str">
            <v>RND-PLASTIC-CELL-SEP</v>
          </cell>
          <cell r="B3267" t="str">
            <v>PLASTIC CELL SEPARATOR</v>
          </cell>
          <cell r="E3267">
            <v>8.2148400000000006</v>
          </cell>
          <cell r="G3267">
            <v>0</v>
          </cell>
        </row>
        <row r="3268">
          <cell r="A3268" t="str">
            <v>RND-PLASTIC-ENDS</v>
          </cell>
          <cell r="B3268" t="str">
            <v>PLASTIC ENDS - BATTERY PACKS FOR VOLTA 6K</v>
          </cell>
          <cell r="E3268">
            <v>14.72</v>
          </cell>
          <cell r="G3268">
            <v>0</v>
          </cell>
        </row>
        <row r="3269">
          <cell r="A3269" t="str">
            <v>RND-PLASTIC-INSERTS</v>
          </cell>
          <cell r="B3269" t="str">
            <v>PLASTIC INSERTS - BATTERY PACKS FOR VOLTA 6K</v>
          </cell>
          <cell r="E3269">
            <v>5.52</v>
          </cell>
          <cell r="G3269">
            <v>0</v>
          </cell>
        </row>
        <row r="3270">
          <cell r="A3270" t="str">
            <v>RND-PLASTIC-PACK-END</v>
          </cell>
          <cell r="B3270" t="str">
            <v>PLASTIC PACK ENDS</v>
          </cell>
          <cell r="E3270">
            <v>16.429929999999999</v>
          </cell>
          <cell r="G3270">
            <v>0</v>
          </cell>
        </row>
        <row r="3271">
          <cell r="A3271" t="str">
            <v>RND-PLASTIC-TERM-COV</v>
          </cell>
          <cell r="B3271" t="str">
            <v>PLASTIC TERMINAL COVER - BATTERY PACKS FOR VOLTA 6K</v>
          </cell>
          <cell r="E3271">
            <v>0</v>
          </cell>
          <cell r="G3271">
            <v>0</v>
          </cell>
        </row>
        <row r="3272">
          <cell r="A3272" t="str">
            <v>RND-PRPC006SAAN-RC</v>
          </cell>
          <cell r="B3272" t="str">
            <v>CONN HEADER VERT 6POS 2.54MM</v>
          </cell>
          <cell r="E3272">
            <v>2.85</v>
          </cell>
          <cell r="G3272">
            <v>0</v>
          </cell>
        </row>
        <row r="3273">
          <cell r="A3273" t="str">
            <v>RND-PRPC025SAAN-RC</v>
          </cell>
          <cell r="B3273" t="str">
            <v>CONN HEADER VERT 25POS 2.54M</v>
          </cell>
          <cell r="E3273">
            <v>9.5299999999999994</v>
          </cell>
          <cell r="G3273">
            <v>0</v>
          </cell>
        </row>
        <row r="3274">
          <cell r="A3274" t="str">
            <v>RND-PRTR5V0U2X-215</v>
          </cell>
          <cell r="B3274" t="str">
            <v>TVS DIODE 5.5VWM SOT143B</v>
          </cell>
          <cell r="E3274">
            <v>11.32</v>
          </cell>
          <cell r="G3274">
            <v>0</v>
          </cell>
        </row>
        <row r="3275">
          <cell r="A3275" t="str">
            <v>RND-PSU-9PSUHPS605D</v>
          </cell>
          <cell r="B3275" t="str">
            <v>SWITCHING DC 60V 5A LAB PSU</v>
          </cell>
          <cell r="E3275">
            <v>1217.3499999999999</v>
          </cell>
          <cell r="G3275">
            <v>0</v>
          </cell>
        </row>
        <row r="3276">
          <cell r="A3276" t="str">
            <v>RND-QOMA33HR</v>
          </cell>
          <cell r="B3276" t="str">
            <v>33KVA BATTERY INVERTER</v>
          </cell>
          <cell r="E3276">
            <v>74223.62</v>
          </cell>
          <cell r="G3276">
            <v>2</v>
          </cell>
        </row>
        <row r="3277">
          <cell r="A3277" t="str">
            <v>RND-RC0603FR-07180RL</v>
          </cell>
          <cell r="B3277" t="str">
            <v>RES SMD 180 OHM 1% 1/10W 0603</v>
          </cell>
          <cell r="E3277">
            <v>0.48409000000000002</v>
          </cell>
          <cell r="G3277">
            <v>0</v>
          </cell>
        </row>
        <row r="3278">
          <cell r="A3278" t="str">
            <v>RND-RC0805FR-071KL</v>
          </cell>
          <cell r="B3278" t="str">
            <v>RESISTOR 1K 0805 1%</v>
          </cell>
          <cell r="E3278">
            <v>0.84</v>
          </cell>
          <cell r="G3278">
            <v>0</v>
          </cell>
        </row>
        <row r="3279">
          <cell r="A3279" t="str">
            <v>RND-RCS04020000Z0ED</v>
          </cell>
          <cell r="B3279" t="str">
            <v>RES SMD 0 OHM JUMPER 1/5W 0402</v>
          </cell>
          <cell r="E3279">
            <v>2.2000000000000002</v>
          </cell>
          <cell r="G3279">
            <v>0</v>
          </cell>
        </row>
        <row r="3280">
          <cell r="A3280" t="str">
            <v>RND-RCS060327R0FKEA</v>
          </cell>
          <cell r="B3280" t="str">
            <v>RES SMD 27 OHM 1% 1/4W 0603</v>
          </cell>
          <cell r="E3280">
            <v>2.89</v>
          </cell>
          <cell r="G3280">
            <v>0</v>
          </cell>
        </row>
        <row r="3281">
          <cell r="A3281" t="str">
            <v>RND-RFP-001</v>
          </cell>
          <cell r="B3281" t="str">
            <v>Battery Charger, Lithium, 25A, 12VDC</v>
          </cell>
          <cell r="E3281">
            <v>1956.306</v>
          </cell>
          <cell r="G3281">
            <v>0</v>
          </cell>
        </row>
        <row r="3282">
          <cell r="A3282" t="str">
            <v>RND-RFP640-01</v>
          </cell>
          <cell r="B3282" t="str">
            <v>48v 100A 16S 3.0-Type A</v>
          </cell>
          <cell r="E3282">
            <v>1421.6475</v>
          </cell>
          <cell r="G3282">
            <v>0</v>
          </cell>
        </row>
        <row r="3283">
          <cell r="A3283" t="str">
            <v>RND-RFP640-02</v>
          </cell>
          <cell r="B3283" t="str">
            <v>48v 100A 16S 3.0-Type B</v>
          </cell>
          <cell r="E3283">
            <v>1421.6479999999999</v>
          </cell>
          <cell r="G3283">
            <v>0</v>
          </cell>
        </row>
        <row r="3284">
          <cell r="A3284" t="str">
            <v>RND-RFP640-03</v>
          </cell>
          <cell r="B3284" t="str">
            <v>Adapter</v>
          </cell>
          <cell r="E3284">
            <v>218.71700000000001</v>
          </cell>
          <cell r="G3284">
            <v>0</v>
          </cell>
        </row>
        <row r="3285">
          <cell r="A3285" t="str">
            <v>RND-RFP640-04</v>
          </cell>
          <cell r="B3285" t="str">
            <v>Mason 105 for EVE 105Ah cells</v>
          </cell>
          <cell r="E3285">
            <v>6539.62</v>
          </cell>
          <cell r="G3285">
            <v>0</v>
          </cell>
        </row>
        <row r="3286">
          <cell r="A3286" t="str">
            <v>RND-RFP780-01</v>
          </cell>
          <cell r="B3286" t="str">
            <v>Battery Charger 25A, 12V, DC</v>
          </cell>
          <cell r="E3286">
            <v>0</v>
          </cell>
          <cell r="G3286">
            <v>0</v>
          </cell>
        </row>
        <row r="3287">
          <cell r="A3287" t="str">
            <v>RND-RFP-787-01</v>
          </cell>
          <cell r="B3287" t="str">
            <v>Active Balancer</v>
          </cell>
          <cell r="E3287">
            <v>1150.2311999999999</v>
          </cell>
          <cell r="G3287">
            <v>98</v>
          </cell>
        </row>
        <row r="3288">
          <cell r="A3288" t="str">
            <v>RND-RFP-789-01</v>
          </cell>
          <cell r="B3288" t="str">
            <v>ANTISTATIC BUBBLEWRAP, 1250mm x 100m</v>
          </cell>
          <cell r="E3288">
            <v>1011</v>
          </cell>
          <cell r="G3288">
            <v>0</v>
          </cell>
        </row>
        <row r="3289">
          <cell r="A3289" t="str">
            <v>RND-RJ45B-BLACK</v>
          </cell>
          <cell r="B3289" t="str">
            <v>BLACK BOOTS RJ45</v>
          </cell>
          <cell r="E3289">
            <v>0.83</v>
          </cell>
          <cell r="G3289">
            <v>0</v>
          </cell>
        </row>
        <row r="3290">
          <cell r="A3290" t="str">
            <v>RND-RJ45B-BLUE</v>
          </cell>
          <cell r="B3290" t="str">
            <v>BLUE BOOTS RJ45</v>
          </cell>
          <cell r="E3290">
            <v>0.83</v>
          </cell>
          <cell r="G3290">
            <v>0</v>
          </cell>
        </row>
        <row r="3291">
          <cell r="A3291" t="str">
            <v>RND-RJ45B-GREEN</v>
          </cell>
          <cell r="B3291" t="str">
            <v>GREEN BOOTS RJ45</v>
          </cell>
          <cell r="E3291">
            <v>0.83</v>
          </cell>
          <cell r="G3291">
            <v>0</v>
          </cell>
        </row>
        <row r="3292">
          <cell r="A3292" t="str">
            <v>RND-RJ45B-RED</v>
          </cell>
          <cell r="B3292" t="str">
            <v>RED BOOTS RJ45</v>
          </cell>
          <cell r="E3292">
            <v>0.83</v>
          </cell>
          <cell r="G3292">
            <v>0</v>
          </cell>
        </row>
        <row r="3293">
          <cell r="A3293" t="str">
            <v>RND-RJ45B-Y</v>
          </cell>
          <cell r="B3293" t="str">
            <v>YELLO BOOTS RJ45</v>
          </cell>
          <cell r="E3293">
            <v>0.83</v>
          </cell>
          <cell r="G3293">
            <v>0</v>
          </cell>
        </row>
        <row r="3294">
          <cell r="A3294" t="str">
            <v>RND-RJ45-CONNECTOR</v>
          </cell>
          <cell r="B3294" t="str">
            <v>RJ45 CAT5E UTP MODULAR PLUG</v>
          </cell>
          <cell r="E3294">
            <v>1.3</v>
          </cell>
          <cell r="G3294">
            <v>0</v>
          </cell>
        </row>
        <row r="3295">
          <cell r="A3295" t="str">
            <v>RND-RMCF0603FT100K</v>
          </cell>
          <cell r="B3295" t="str">
            <v>RES 100K OHM 1% 1/10W 0603</v>
          </cell>
          <cell r="E3295">
            <v>0.14099999999999999</v>
          </cell>
          <cell r="G3295">
            <v>0</v>
          </cell>
        </row>
        <row r="3296">
          <cell r="A3296" t="str">
            <v>RND-RMCF0603FT10K0</v>
          </cell>
          <cell r="B3296" t="str">
            <v>RES SMD 10K OHM 1% 1/10W 0603 RMCF0603FT10K0CT-ND</v>
          </cell>
          <cell r="E3296">
            <v>0.93</v>
          </cell>
          <cell r="G3296">
            <v>0</v>
          </cell>
        </row>
        <row r="3297">
          <cell r="A3297" t="str">
            <v>RND-RMCF0603FT10R0</v>
          </cell>
          <cell r="B3297" t="str">
            <v>RES 10 OHM 1% 1/10W 0603  RMCF0603FT10R0CT-ND</v>
          </cell>
          <cell r="E3297">
            <v>0.34</v>
          </cell>
          <cell r="G3297">
            <v>0</v>
          </cell>
        </row>
        <row r="3298">
          <cell r="A3298" t="str">
            <v>RND-RMCF0603FT115K</v>
          </cell>
          <cell r="B3298" t="str">
            <v>RES 115K OHM 1% 1/10W 0603 RMCF0603FT115KTR-ND</v>
          </cell>
          <cell r="E3298">
            <v>0.34</v>
          </cell>
          <cell r="G3298">
            <v>0</v>
          </cell>
        </row>
        <row r="3299">
          <cell r="A3299" t="str">
            <v>RND-RMCF0603FT120K</v>
          </cell>
          <cell r="B3299" t="str">
            <v>RES 120K OHM 1% 1/10W 0603</v>
          </cell>
          <cell r="E3299">
            <v>0.33</v>
          </cell>
          <cell r="G3299">
            <v>0</v>
          </cell>
        </row>
        <row r="3300">
          <cell r="A3300" t="str">
            <v>RND-RMCF0603FT15K0</v>
          </cell>
          <cell r="B3300" t="str">
            <v>RES 15K OHM 1% 1/10W 0603 RMCF0603FT15K0CT-ND</v>
          </cell>
          <cell r="E3300">
            <v>0.34</v>
          </cell>
          <cell r="G3300">
            <v>0</v>
          </cell>
        </row>
        <row r="3301">
          <cell r="A3301" t="str">
            <v>RND-RMCF0603FT1M00</v>
          </cell>
          <cell r="B3301" t="str">
            <v>RES SMD 1M OHM 1% 1/10W 0603</v>
          </cell>
          <cell r="E3301">
            <v>2.2200000000000002</v>
          </cell>
          <cell r="G3301">
            <v>0</v>
          </cell>
        </row>
        <row r="3302">
          <cell r="A3302" t="str">
            <v>RND-RMCF0603FT22R0</v>
          </cell>
          <cell r="B3302" t="str">
            <v>RES 22 OHM 1% 1/10W 0603 RMCF0603FT22R0CT-ND</v>
          </cell>
          <cell r="E3302">
            <v>0.14299000000000001</v>
          </cell>
          <cell r="G3302">
            <v>0</v>
          </cell>
        </row>
        <row r="3303">
          <cell r="A3303" t="str">
            <v>RND-RMCF0603FT274R</v>
          </cell>
          <cell r="B3303" t="str">
            <v>RES 274 OHM 1% 1/10W 0603</v>
          </cell>
          <cell r="E3303">
            <v>0.33317999999999998</v>
          </cell>
          <cell r="G3303">
            <v>0</v>
          </cell>
        </row>
        <row r="3304">
          <cell r="A3304" t="str">
            <v>RND-RMCF0603FT2K20</v>
          </cell>
          <cell r="B3304" t="str">
            <v>RES 2.2K OHM 1% 1/10W 0603 RMCF0603FT2K20CT-ND</v>
          </cell>
          <cell r="E3304">
            <v>0.33484999999999998</v>
          </cell>
          <cell r="G3304">
            <v>0</v>
          </cell>
        </row>
        <row r="3305">
          <cell r="A3305" t="str">
            <v>RND-RMCF0603FT39K2</v>
          </cell>
          <cell r="B3305" t="str">
            <v>RES 39.2K OHM 1% 1/10W 0603</v>
          </cell>
          <cell r="E3305">
            <v>0.33317999999999998</v>
          </cell>
          <cell r="G3305">
            <v>0</v>
          </cell>
        </row>
        <row r="3306">
          <cell r="A3306" t="str">
            <v>RND-RMCF0603FT47K0</v>
          </cell>
          <cell r="B3306" t="str">
            <v>RES 47K OHM 1% 1/10W 0603 RMCF0603FT47K0TR-ND</v>
          </cell>
          <cell r="E3306">
            <v>2.35</v>
          </cell>
          <cell r="G3306">
            <v>0</v>
          </cell>
        </row>
        <row r="3307">
          <cell r="A3307" t="str">
            <v>RND-RMCF0603FT4K70</v>
          </cell>
          <cell r="B3307" t="str">
            <v>RES 4.7K OHM 1% 1/10W 0603</v>
          </cell>
          <cell r="E3307">
            <v>2.35</v>
          </cell>
          <cell r="G3307">
            <v>0</v>
          </cell>
        </row>
        <row r="3308">
          <cell r="A3308" t="str">
            <v>RND-RMCF0603FT60R4</v>
          </cell>
          <cell r="B3308" t="str">
            <v>RES 60.4 OHM 1% 1/10W 0603</v>
          </cell>
          <cell r="E3308">
            <v>0.33295000000000002</v>
          </cell>
          <cell r="G3308">
            <v>0</v>
          </cell>
        </row>
        <row r="3309">
          <cell r="A3309" t="str">
            <v>RND-RMCF0603FT620R</v>
          </cell>
          <cell r="B3309" t="str">
            <v>RES 620 OHM 1% 1/10W 0603</v>
          </cell>
          <cell r="E3309">
            <v>0.33295000000000002</v>
          </cell>
          <cell r="G3309">
            <v>0</v>
          </cell>
        </row>
        <row r="3310">
          <cell r="A3310" t="str">
            <v>RND-RMCF0603FT75K0</v>
          </cell>
          <cell r="B3310" t="str">
            <v>RES 75K OHM 1% 1/10W 0603 RMCF0603FT75K0TR-ND</v>
          </cell>
          <cell r="E3310">
            <v>0.34</v>
          </cell>
          <cell r="G3310">
            <v>0</v>
          </cell>
        </row>
        <row r="3311">
          <cell r="A3311" t="str">
            <v>RND-RMCF0603ZT0R00</v>
          </cell>
          <cell r="B3311" t="str">
            <v>RES 0 OHM JUMPER 1/10W 0603 RMCF0603ZT0R00CT-ND</v>
          </cell>
          <cell r="E3311">
            <v>0.13178000000000001</v>
          </cell>
          <cell r="G3311">
            <v>0</v>
          </cell>
        </row>
        <row r="3312">
          <cell r="A3312" t="str">
            <v>RND-RMCF0805FT120R</v>
          </cell>
          <cell r="B3312" t="str">
            <v>RES 120 OHM 1% 1/8W 0805</v>
          </cell>
          <cell r="E3312">
            <v>0.54408999999999996</v>
          </cell>
          <cell r="G3312">
            <v>0</v>
          </cell>
        </row>
        <row r="3313">
          <cell r="A3313" t="str">
            <v>RND-RQ73C1J16K2BTD</v>
          </cell>
          <cell r="B3313" t="str">
            <v>RES 16.2 KOHMS 0.1% 0.15W 0603 A140302CT-ND</v>
          </cell>
          <cell r="E3313">
            <v>12.62</v>
          </cell>
          <cell r="G3313">
            <v>0</v>
          </cell>
        </row>
        <row r="3314">
          <cell r="A3314" t="str">
            <v>RND-RSPBRRY-HT-ENCL</v>
          </cell>
          <cell r="B3314" t="str">
            <v>ENCLOSURE SET FOR RS422/RS485 HAT</v>
          </cell>
          <cell r="E3314">
            <v>0</v>
          </cell>
          <cell r="G3314">
            <v>0</v>
          </cell>
        </row>
        <row r="3315">
          <cell r="A3315" t="str">
            <v>RND-RSPBRRY-HT-RS232</v>
          </cell>
          <cell r="B3315" t="str">
            <v>2-CHANNEL ISOLATED RS232 EXPANSION HAT FOR RASPBERRI PI</v>
          </cell>
          <cell r="E3315">
            <v>0</v>
          </cell>
          <cell r="G3315">
            <v>0</v>
          </cell>
        </row>
        <row r="3316">
          <cell r="A3316" t="str">
            <v>RND-RSPBRRY-HT-RS485</v>
          </cell>
          <cell r="B3316" t="str">
            <v>2-CHANNEL ISOLATED RS485 EXPANSION HAT FOR RASPBERRY PI</v>
          </cell>
          <cell r="E3316">
            <v>0</v>
          </cell>
          <cell r="G3316">
            <v>0</v>
          </cell>
        </row>
        <row r="3317">
          <cell r="A3317" t="str">
            <v>RND-RSPBRRY-MOD-RS48</v>
          </cell>
          <cell r="B3317" t="str">
            <v>RS485 MODULE TLL&gt;RS485</v>
          </cell>
          <cell r="E3317">
            <v>0</v>
          </cell>
          <cell r="G3317">
            <v>0</v>
          </cell>
        </row>
        <row r="3318">
          <cell r="A3318" t="str">
            <v>RND-RSPBRRY-PI4B</v>
          </cell>
          <cell r="B3318" t="str">
            <v>RASPBERRY PI4 B 2GB ESSENTIALS KIT INCL PSU</v>
          </cell>
          <cell r="E3318">
            <v>0</v>
          </cell>
          <cell r="G3318">
            <v>0</v>
          </cell>
        </row>
        <row r="3319">
          <cell r="A3319" t="str">
            <v>RND-RSPBRRY-PI-ARDUI</v>
          </cell>
          <cell r="B3319" t="str">
            <v>RASPBERRY PI ARDSH485 ARDUINO RS422/RS485 SHIELD</v>
          </cell>
          <cell r="E3319">
            <v>0</v>
          </cell>
          <cell r="G3319">
            <v>0</v>
          </cell>
        </row>
        <row r="3320">
          <cell r="A3320" t="str">
            <v>RND-RSPBRRY-RS485</v>
          </cell>
          <cell r="B3320" t="str">
            <v>RASPBERRY PI RS-485</v>
          </cell>
          <cell r="E3320">
            <v>0</v>
          </cell>
          <cell r="G3320">
            <v>0</v>
          </cell>
        </row>
        <row r="3321">
          <cell r="A3321" t="str">
            <v>RND-RSPBRY-HT-RS422</v>
          </cell>
          <cell r="B3321" t="str">
            <v>RPIHT485 - RS422/RS485 HAT FOR RASPBERRY PI</v>
          </cell>
          <cell r="E3321">
            <v>0</v>
          </cell>
          <cell r="G3321">
            <v>0</v>
          </cell>
        </row>
        <row r="3322">
          <cell r="A3322" t="str">
            <v>RND-RT001-01</v>
          </cell>
          <cell r="B3322" t="str">
            <v>Spacer, M-F, M3x16mm</v>
          </cell>
          <cell r="E3322">
            <v>3</v>
          </cell>
          <cell r="G3322">
            <v>0</v>
          </cell>
        </row>
        <row r="3323">
          <cell r="A3323" t="str">
            <v>RND-RT001-02</v>
          </cell>
          <cell r="B3323" t="str">
            <v>Washer, Plastic, M3</v>
          </cell>
          <cell r="E3323">
            <v>0.7</v>
          </cell>
          <cell r="G3323">
            <v>0</v>
          </cell>
        </row>
        <row r="3324">
          <cell r="A3324" t="str">
            <v>RND-RT001-03</v>
          </cell>
          <cell r="B3324" t="str">
            <v>Spacer, F-F, M3x15mm</v>
          </cell>
          <cell r="E3324">
            <v>2.64</v>
          </cell>
          <cell r="G3324">
            <v>0</v>
          </cell>
        </row>
        <row r="3325">
          <cell r="A3325" t="str">
            <v>RND-RT001-04</v>
          </cell>
          <cell r="B3325" t="str">
            <v>Spacer, M-F, M3x20mm</v>
          </cell>
          <cell r="E3325">
            <v>4</v>
          </cell>
          <cell r="G3325">
            <v>0</v>
          </cell>
        </row>
        <row r="3326">
          <cell r="A3326" t="str">
            <v>RND-RT002-01</v>
          </cell>
          <cell r="B3326" t="str">
            <v>Screw, M6x60</v>
          </cell>
          <cell r="E3326">
            <v>7.41</v>
          </cell>
          <cell r="G3326">
            <v>0</v>
          </cell>
        </row>
        <row r="3327">
          <cell r="A3327" t="str">
            <v>RND-RT002-02</v>
          </cell>
          <cell r="B3327" t="str">
            <v>Nut, M6</v>
          </cell>
          <cell r="E3327">
            <v>0.4</v>
          </cell>
          <cell r="G3327">
            <v>0</v>
          </cell>
        </row>
        <row r="3328">
          <cell r="A3328" t="str">
            <v>RND-RT002-03</v>
          </cell>
          <cell r="B3328" t="str">
            <v>Screw, M3x16</v>
          </cell>
          <cell r="E3328">
            <v>0.9</v>
          </cell>
          <cell r="G3328">
            <v>0</v>
          </cell>
        </row>
        <row r="3329">
          <cell r="A3329" t="str">
            <v>RND-RT002-04</v>
          </cell>
          <cell r="B3329" t="str">
            <v>Washer, Flat, M3</v>
          </cell>
          <cell r="E3329">
            <v>2.94</v>
          </cell>
          <cell r="G3329">
            <v>0</v>
          </cell>
        </row>
        <row r="3330">
          <cell r="A3330" t="str">
            <v>RND-RT002-05</v>
          </cell>
          <cell r="B3330" t="str">
            <v>Washer, Spring, M3</v>
          </cell>
          <cell r="E3330">
            <v>5.1200000000000002E-2</v>
          </cell>
          <cell r="G3330">
            <v>0</v>
          </cell>
        </row>
        <row r="3331">
          <cell r="A3331" t="str">
            <v>RND-RT004-01</v>
          </cell>
          <cell r="B3331" t="str">
            <v>Jig, Drill, Inverter Mounting Holes</v>
          </cell>
          <cell r="E3331">
            <v>81.5</v>
          </cell>
          <cell r="G3331">
            <v>0</v>
          </cell>
        </row>
        <row r="3332">
          <cell r="A3332" t="str">
            <v>RND-S25-022</v>
          </cell>
          <cell r="B3332" t="str">
            <v>SPRING PROBE SLEEVE</v>
          </cell>
          <cell r="E3332">
            <v>27.233000000000001</v>
          </cell>
          <cell r="G3332">
            <v>0</v>
          </cell>
        </row>
        <row r="3333">
          <cell r="A3333" t="str">
            <v>RND-SBH-001T-P0.5</v>
          </cell>
          <cell r="B3333" t="str">
            <v>CONN SOCKET 22-28AWG CRIMP TIN 455-1124-1-ND</v>
          </cell>
          <cell r="E3333">
            <v>0.55000000000000004</v>
          </cell>
          <cell r="G3333">
            <v>0</v>
          </cell>
        </row>
        <row r="3334">
          <cell r="A3334" t="str">
            <v>RND-SC4216HSETRT</v>
          </cell>
          <cell r="B3334" t="str">
            <v>IC REG LIN POS ADJ 3A 8SOIC SC4216HSECT-ND</v>
          </cell>
          <cell r="E3334">
            <v>39.521819999999998</v>
          </cell>
          <cell r="G3334">
            <v>0</v>
          </cell>
        </row>
        <row r="3335">
          <cell r="A3335" t="str">
            <v>RND-SM712.TCT</v>
          </cell>
          <cell r="B3335" t="str">
            <v>TVS ASYMM RS-485V 7/12V SOT23</v>
          </cell>
          <cell r="E3335">
            <v>36.630000000000003</v>
          </cell>
          <cell r="G3335">
            <v>0</v>
          </cell>
        </row>
        <row r="3336">
          <cell r="A3336" t="str">
            <v>RND-SMAJ16CA</v>
          </cell>
          <cell r="B3336" t="str">
            <v>TVS DIODE 16VWM 26VC SMA</v>
          </cell>
          <cell r="E3336">
            <v>9.33</v>
          </cell>
          <cell r="G3336">
            <v>0</v>
          </cell>
        </row>
        <row r="3337">
          <cell r="A3337" t="str">
            <v>RND-SMAJ48A/TR13</v>
          </cell>
          <cell r="B3337" t="str">
            <v>SMAJ, DO-214AC, 48V, 77.4V</v>
          </cell>
          <cell r="E3337">
            <v>5.84</v>
          </cell>
          <cell r="G3337">
            <v>0</v>
          </cell>
        </row>
        <row r="3338">
          <cell r="A3338" t="str">
            <v>RND-SMAJ5.0CA</v>
          </cell>
          <cell r="B3338" t="str">
            <v>1801-SMAJ5.0CACT-ND 1801-SMAJ5.0CACT-ND</v>
          </cell>
          <cell r="E3338">
            <v>7.5918200000000002</v>
          </cell>
          <cell r="G3338">
            <v>0</v>
          </cell>
        </row>
        <row r="3339">
          <cell r="A3339" t="str">
            <v>RND-SMF3.3</v>
          </cell>
          <cell r="B3339" t="str">
            <v>TVS DIODE 3.3V 6.8V SOD123FL</v>
          </cell>
          <cell r="E3339">
            <v>8.64</v>
          </cell>
          <cell r="G3339">
            <v>0</v>
          </cell>
        </row>
        <row r="3340">
          <cell r="A3340" t="str">
            <v>RND-SMRT-MTR-CLMP RN</v>
          </cell>
          <cell r="B3340" t="str">
            <v>SOFAR SMART METER CLAMP</v>
          </cell>
          <cell r="E3340">
            <v>0</v>
          </cell>
          <cell r="G3340">
            <v>0</v>
          </cell>
        </row>
        <row r="3341">
          <cell r="A3341" t="str">
            <v>RND-SOFAR-25KTLG RND</v>
          </cell>
          <cell r="B3341" t="str">
            <v xml:space="preserve">SOFAR 25 KTL-G GRID TIE INVERTER </v>
          </cell>
          <cell r="E3341">
            <v>0</v>
          </cell>
          <cell r="G3341">
            <v>0</v>
          </cell>
        </row>
        <row r="3342">
          <cell r="A3342" t="str">
            <v>RND-SOLDERING-TIP</v>
          </cell>
          <cell r="B3342" t="str">
            <v>SOLDERING TIP FOR WELLER / MAGNUM W/HOLE 35X0.8</v>
          </cell>
          <cell r="E3342">
            <v>0</v>
          </cell>
          <cell r="G3342">
            <v>0</v>
          </cell>
        </row>
        <row r="3343">
          <cell r="A3343" t="str">
            <v>RND-SPAL-002T-P0.5</v>
          </cell>
          <cell r="B3343" t="str">
            <v>CONN PIN 24-28AWG CRIMP TIN 455-1547-1-ND</v>
          </cell>
          <cell r="E3343">
            <v>0.73</v>
          </cell>
          <cell r="G3343">
            <v>0</v>
          </cell>
        </row>
        <row r="3344">
          <cell r="A3344" t="str">
            <v>RND-SPHD-001T-P0.5</v>
          </cell>
          <cell r="B3344" t="str">
            <v>CONN TERM PHD CRIMP 22-26AWG TIN 455-1325-1-ND</v>
          </cell>
          <cell r="E3344">
            <v>0.71333000000000002</v>
          </cell>
          <cell r="G3344">
            <v>0</v>
          </cell>
        </row>
        <row r="3345">
          <cell r="A3345" t="str">
            <v>RND-SR24B</v>
          </cell>
          <cell r="B3345" t="str">
            <v>SR24B</v>
          </cell>
          <cell r="E3345">
            <v>1653.5440000000001</v>
          </cell>
          <cell r="G3345">
            <v>0</v>
          </cell>
        </row>
        <row r="3346">
          <cell r="A3346" t="str">
            <v>RND-SR31C</v>
          </cell>
          <cell r="B3346" t="str">
            <v>SR31C</v>
          </cell>
          <cell r="E3346">
            <v>5433.9679999999998</v>
          </cell>
          <cell r="G3346">
            <v>0</v>
          </cell>
        </row>
        <row r="3347">
          <cell r="A3347" t="str">
            <v>RND-SR32C</v>
          </cell>
          <cell r="B3347" t="str">
            <v>SR32C</v>
          </cell>
          <cell r="E3347">
            <v>9176.4940000000006</v>
          </cell>
          <cell r="G3347">
            <v>0</v>
          </cell>
        </row>
        <row r="3348">
          <cell r="A3348" t="str">
            <v>RND-SS110-HF</v>
          </cell>
          <cell r="B3348" t="str">
            <v>DIODE SCHOTTKY 100V 1A DO214A</v>
          </cell>
          <cell r="E3348">
            <v>7.77</v>
          </cell>
          <cell r="G3348">
            <v>0</v>
          </cell>
        </row>
        <row r="3349">
          <cell r="A3349" t="str">
            <v>RND-SS-BATTERYBOX-JI</v>
          </cell>
          <cell r="B3349" t="str">
            <v>SS - BATTERYBOX CHECKING JIG</v>
          </cell>
          <cell r="E3349">
            <v>314.81</v>
          </cell>
          <cell r="G3349">
            <v>0</v>
          </cell>
        </row>
        <row r="3350">
          <cell r="A3350" t="str">
            <v>RND-ST3485EBDR</v>
          </cell>
          <cell r="B3350" t="str">
            <v>LINE TRANS 1TR 1TX 1RX 8-PIN SO</v>
          </cell>
          <cell r="E3350">
            <v>39.9</v>
          </cell>
          <cell r="G3350">
            <v>0</v>
          </cell>
        </row>
        <row r="3351">
          <cell r="A3351" t="str">
            <v>RND-STATION-SMD-HOT</v>
          </cell>
          <cell r="B3351" t="str">
            <v>STATION SMD HOT AIR REMOVER</v>
          </cell>
          <cell r="E3351">
            <v>0</v>
          </cell>
          <cell r="G3351">
            <v>0</v>
          </cell>
        </row>
        <row r="3352">
          <cell r="A3352" t="str">
            <v>RND-STLINK-V3SET</v>
          </cell>
          <cell r="B3352" t="str">
            <v>IN-CIRCUIT DEBUGGERS STINK V3 MOD (511-STLINK-V3SET)</v>
          </cell>
          <cell r="E3352">
            <v>931.67</v>
          </cell>
          <cell r="G3352">
            <v>0</v>
          </cell>
        </row>
        <row r="3353">
          <cell r="A3353" t="str">
            <v>RND-STM32H503RBT6</v>
          </cell>
          <cell r="B3353" t="str">
            <v>STM32H503RBT6 HIGH-PERFORMANCE, ARM CORTEX-M33, MCU WITH 128KBYTE FLASH, 32KBYTE RAM, 250MHZ CPU</v>
          </cell>
          <cell r="E3353">
            <v>39.15</v>
          </cell>
          <cell r="G3353">
            <v>0</v>
          </cell>
        </row>
        <row r="3354">
          <cell r="A3354" t="str">
            <v>RND-TB001-01</v>
          </cell>
          <cell r="B3354" t="str">
            <v>Raspberry Pi Zero 2 W Essentials Kit</v>
          </cell>
          <cell r="E3354">
            <v>643.39166999999998</v>
          </cell>
          <cell r="G3354">
            <v>0</v>
          </cell>
        </row>
        <row r="3355">
          <cell r="A3355" t="str">
            <v>RND-TB001-02</v>
          </cell>
          <cell r="B3355" t="str">
            <v>Raspberry Pi 5 and Zero Camera Adapter Cable 200mm</v>
          </cell>
          <cell r="E3355">
            <v>17.809999999999999</v>
          </cell>
          <cell r="G3355">
            <v>0</v>
          </cell>
        </row>
        <row r="3356">
          <cell r="A3356" t="str">
            <v>RND-TB001-03</v>
          </cell>
          <cell r="B3356" t="str">
            <v>Official USB A male to USB micro B male 1m</v>
          </cell>
          <cell r="E3356">
            <v>29.75</v>
          </cell>
          <cell r="G3356">
            <v>0</v>
          </cell>
        </row>
        <row r="3357">
          <cell r="A3357" t="str">
            <v>RND-TB001-04</v>
          </cell>
          <cell r="B3357" t="str">
            <v>Raspberry Pi Camera Module 3 wide-angle (120°) lens</v>
          </cell>
          <cell r="E3357">
            <v>604.35</v>
          </cell>
          <cell r="G3357">
            <v>0</v>
          </cell>
        </row>
        <row r="3358">
          <cell r="A3358" t="str">
            <v>RND-TB001-05</v>
          </cell>
          <cell r="B3358" t="str">
            <v>Li-ion Battery HAT for Raspberry Pi, 5V Output, Quick Charge</v>
          </cell>
          <cell r="E3358">
            <v>0</v>
          </cell>
          <cell r="G3358">
            <v>0</v>
          </cell>
        </row>
        <row r="3359">
          <cell r="A3359" t="str">
            <v>RND-TB001-06</v>
          </cell>
          <cell r="B3359" t="str">
            <v xml:space="preserve">4 Port Raspberry Pi (Zero) pHAT, USB HUB </v>
          </cell>
          <cell r="E3359">
            <v>144.79333</v>
          </cell>
          <cell r="G3359">
            <v>0</v>
          </cell>
        </row>
        <row r="3360">
          <cell r="A3360" t="str">
            <v>RND-TB001-07</v>
          </cell>
          <cell r="B3360" t="str">
            <v>3 Port USB Hub - Micro USB (Pi Zero)</v>
          </cell>
          <cell r="E3360">
            <v>0</v>
          </cell>
          <cell r="G3360">
            <v>0</v>
          </cell>
        </row>
        <row r="3361">
          <cell r="A3361" t="str">
            <v>RND-TB001-08</v>
          </cell>
          <cell r="B3361" t="str">
            <v>LC14500-750mAh 3.7V Li-ion (AA size)</v>
          </cell>
          <cell r="E3361">
            <v>0</v>
          </cell>
          <cell r="G3361">
            <v>0</v>
          </cell>
        </row>
        <row r="3362">
          <cell r="A3362" t="str">
            <v>RND-TB001-09</v>
          </cell>
          <cell r="B3362" t="str">
            <v>WS2812 Digital RGB LED Strip, 1m</v>
          </cell>
          <cell r="E3362">
            <v>134.87</v>
          </cell>
          <cell r="G3362">
            <v>0</v>
          </cell>
        </row>
        <row r="3363">
          <cell r="A3363" t="str">
            <v>RND-TB001-10</v>
          </cell>
          <cell r="B3363" t="str">
            <v>USB To USB Isolator, 12Mbps Speed</v>
          </cell>
          <cell r="E3363">
            <v>159.351</v>
          </cell>
          <cell r="G3363">
            <v>0</v>
          </cell>
        </row>
        <row r="3364">
          <cell r="A3364" t="str">
            <v>RND-TB001-11</v>
          </cell>
          <cell r="B3364" t="str">
            <v>Uninterruptible Power Supply UPS HAT For Raspberry Pi Zero, Stable 5V Power Output</v>
          </cell>
          <cell r="E3364">
            <v>417.7</v>
          </cell>
          <cell r="G3364">
            <v>0</v>
          </cell>
        </row>
        <row r="3365">
          <cell r="A3365" t="str">
            <v>RND-TB002-01</v>
          </cell>
          <cell r="B3365" t="str">
            <v xml:space="preserve">Development Kit, ESP32-C6-DEVKITC-1-N8 </v>
          </cell>
          <cell r="E3365">
            <v>184.09</v>
          </cell>
          <cell r="G3365">
            <v>0</v>
          </cell>
        </row>
        <row r="3366">
          <cell r="A3366" t="str">
            <v>RND-TB002-02</v>
          </cell>
          <cell r="B3366" t="str">
            <v>Development Kit, ESP-PROG</v>
          </cell>
          <cell r="E3366">
            <v>261.43</v>
          </cell>
          <cell r="G3366">
            <v>0</v>
          </cell>
        </row>
        <row r="3367">
          <cell r="A3367" t="str">
            <v>RND-TB003-01</v>
          </cell>
          <cell r="B3367" t="str">
            <v>W16806_Wave LoRa SX1262 868MHz for Pi</v>
          </cell>
          <cell r="E3367">
            <v>0</v>
          </cell>
          <cell r="G3367">
            <v>0</v>
          </cell>
        </row>
        <row r="3368">
          <cell r="A3368" t="str">
            <v>RND-TB003-02</v>
          </cell>
          <cell r="B3368" t="str">
            <v>W24515_Wave USB to LoRa SX1262 868MHz</v>
          </cell>
          <cell r="E3368">
            <v>0</v>
          </cell>
          <cell r="G3368">
            <v>0</v>
          </cell>
        </row>
        <row r="3369">
          <cell r="A3369" t="str">
            <v>RND-TB003-03</v>
          </cell>
          <cell r="B3369" t="str">
            <v>ESP32-S3FN8-OLED049_Heltec Wireless Stick V3 with OLED LoRa 868MHz</v>
          </cell>
          <cell r="E3369">
            <v>0</v>
          </cell>
          <cell r="G3369">
            <v>0</v>
          </cell>
        </row>
        <row r="3370">
          <cell r="A3370" t="str">
            <v>RND-THVD1450DR</v>
          </cell>
          <cell r="B3370" t="str">
            <v>RS-485</v>
          </cell>
          <cell r="E3370">
            <v>61.06</v>
          </cell>
          <cell r="G3370">
            <v>0</v>
          </cell>
        </row>
        <row r="3371">
          <cell r="A3371" t="str">
            <v>RND-TLP241A(TP1,F)</v>
          </cell>
          <cell r="B3371" t="str">
            <v>SSR RELAY SPST-NO 2A 0-40V</v>
          </cell>
          <cell r="E3371">
            <v>25.32</v>
          </cell>
          <cell r="G3371">
            <v>0</v>
          </cell>
        </row>
        <row r="3372">
          <cell r="A3372" t="str">
            <v>RND-TLV76150DCYR</v>
          </cell>
          <cell r="B3372" t="str">
            <v>1-A 16-V HIGH-PSRR LINEAR VOLTA</v>
          </cell>
          <cell r="E3372">
            <v>16.21</v>
          </cell>
          <cell r="G3372">
            <v>0</v>
          </cell>
        </row>
        <row r="3373">
          <cell r="A3373" t="str">
            <v>RND-TPS61235PRWLR</v>
          </cell>
          <cell r="B3373" t="str">
            <v>IC REG BOOST 5.1V 6.5A 9VQFN</v>
          </cell>
          <cell r="E3373">
            <v>39.601819999999996</v>
          </cell>
          <cell r="G3373">
            <v>0</v>
          </cell>
        </row>
        <row r="3374">
          <cell r="A3374" t="str">
            <v>RND-UNO-R3-BOARD</v>
          </cell>
          <cell r="B3374" t="str">
            <v>UNO R3 MEGA328P BOARD</v>
          </cell>
          <cell r="E3374">
            <v>0</v>
          </cell>
          <cell r="G3374">
            <v>0</v>
          </cell>
        </row>
        <row r="3375">
          <cell r="A3375" t="str">
            <v>RND-USB-LABEL</v>
          </cell>
          <cell r="B3375" t="str">
            <v>1.2KWH INSERT LABEL 12X4.5MM SILKSCREEN PRINT BLACK + P311C + WHITE ONTO 175MICRON FROSTED POLYCARB</v>
          </cell>
          <cell r="E3375">
            <v>0</v>
          </cell>
          <cell r="G3375">
            <v>0</v>
          </cell>
        </row>
        <row r="3376">
          <cell r="A3376" t="str">
            <v>RND-USB-RS485-CONVER</v>
          </cell>
          <cell r="B3376" t="str">
            <v>ADAPTER USB TO RS485 CONVERTER CABLE / LEAD</v>
          </cell>
          <cell r="E3376">
            <v>522.31332999999995</v>
          </cell>
          <cell r="G3376">
            <v>0</v>
          </cell>
        </row>
        <row r="3377">
          <cell r="A3377" t="str">
            <v>RND-USB-SERIAL-9PIN</v>
          </cell>
          <cell r="B3377" t="str">
            <v>USB A(M) TO SERIAL 9PIN</v>
          </cell>
          <cell r="E3377">
            <v>0</v>
          </cell>
          <cell r="G3377">
            <v>0</v>
          </cell>
        </row>
        <row r="3378">
          <cell r="A3378" t="str">
            <v>RND-USB-TTL-UART-RS2</v>
          </cell>
          <cell r="B3378" t="str">
            <v>PL2303HX USB TO TTL TO UART RS232 COM CABLE MODULE CONVERTER</v>
          </cell>
          <cell r="E3378">
            <v>0</v>
          </cell>
          <cell r="G3378">
            <v>0</v>
          </cell>
        </row>
        <row r="3379">
          <cell r="A3379" t="str">
            <v>RND-VCAN16A2-03GHE3-</v>
          </cell>
          <cell r="B3379" t="str">
            <v>TVS DIODE 16VWM 28VC SOT323</v>
          </cell>
          <cell r="E3379">
            <v>9.33</v>
          </cell>
          <cell r="G3379">
            <v>0</v>
          </cell>
        </row>
        <row r="3380">
          <cell r="A3380" t="str">
            <v>RND-W18366</v>
          </cell>
          <cell r="B3380" t="str">
            <v>WAVE 2.4" DISPLAY SPI 65K COLOUR</v>
          </cell>
          <cell r="E3380">
            <v>292.16000000000003</v>
          </cell>
          <cell r="G3380">
            <v>0</v>
          </cell>
        </row>
        <row r="3381">
          <cell r="A3381" t="str">
            <v>RND-XY-L10A-BAT-CHAR</v>
          </cell>
          <cell r="B3381" t="str">
            <v>HKD BATTERY CHARGER XY-L10A 6-60V::1N 10A LEAD-ACID SOLAR STORAGE BATTERY CHARGE CONTROLLER WITH LCD</v>
          </cell>
          <cell r="E3381">
            <v>0</v>
          </cell>
          <cell r="G3381">
            <v>0</v>
          </cell>
        </row>
        <row r="3382">
          <cell r="A3382" t="str">
            <v>RND-YELLOBOX-K088T3</v>
          </cell>
          <cell r="B3382" t="str">
            <v>YELLOBOX K088T3</v>
          </cell>
          <cell r="E3382">
            <v>2415.87</v>
          </cell>
          <cell r="G3382">
            <v>0</v>
          </cell>
        </row>
        <row r="3383">
          <cell r="A3383" t="str">
            <v>RND-Z5.523.9353.0</v>
          </cell>
          <cell r="B3383" t="str">
            <v>TERMINAL END STOP SCREWLESS</v>
          </cell>
          <cell r="E3383">
            <v>8.06</v>
          </cell>
          <cell r="G3383">
            <v>0</v>
          </cell>
        </row>
        <row r="3384">
          <cell r="A3384" t="str">
            <v>RND-Z7.282.5427.0</v>
          </cell>
          <cell r="B3384" t="str">
            <v>4P BLUG-IN BRIDGE BAR FOR WT6</v>
          </cell>
          <cell r="E3384">
            <v>21.77</v>
          </cell>
          <cell r="G3384">
            <v>0</v>
          </cell>
        </row>
        <row r="3385">
          <cell r="A3385" t="str">
            <v>RND-ZB3530HL-REFLOW</v>
          </cell>
          <cell r="B3385" t="str">
            <v>ZHENGBANG SERIES ZB3530HL REFLOW OVEN FOR SMT PRODUCTION ASSEMBLY LINE</v>
          </cell>
          <cell r="E3385">
            <v>20108.04</v>
          </cell>
          <cell r="G3385">
            <v>0</v>
          </cell>
        </row>
        <row r="3386">
          <cell r="A3386" t="str">
            <v>RND-ZEN-00135</v>
          </cell>
          <cell r="B3386" t="str">
            <v>ZEN 3D PRINTING FILAMENT PLA GREY 1.75MM</v>
          </cell>
          <cell r="E3386">
            <v>251.304</v>
          </cell>
          <cell r="G3386">
            <v>0</v>
          </cell>
        </row>
        <row r="3387">
          <cell r="A3387" t="str">
            <v>RND-ZEN-00136</v>
          </cell>
          <cell r="B3387" t="str">
            <v>ZEN 3D PRINTING FILAMENT PLA BLACK 1.75MM</v>
          </cell>
          <cell r="E3387">
            <v>251.304</v>
          </cell>
          <cell r="G3387">
            <v>0</v>
          </cell>
        </row>
        <row r="3388">
          <cell r="A3388" t="str">
            <v>RND-ZEN-00137</v>
          </cell>
          <cell r="B3388" t="str">
            <v>ZEN 3D PRINTING FILAMENT PLA WHITE 1.75MM</v>
          </cell>
          <cell r="E3388">
            <v>251.30500000000001</v>
          </cell>
          <cell r="G3388">
            <v>0</v>
          </cell>
        </row>
        <row r="3389">
          <cell r="A3389" t="str">
            <v>SIM-MTN</v>
          </cell>
          <cell r="B3389" t="str">
            <v>MTN 3-IN-1 SIM CARD:  STD/MICRO/NANO SIM CARD</v>
          </cell>
          <cell r="E3389">
            <v>21.93</v>
          </cell>
          <cell r="G3389">
            <v>0</v>
          </cell>
        </row>
        <row r="3390">
          <cell r="A3390" t="str">
            <v>SSEG-CONTROLLER-METE</v>
          </cell>
          <cell r="B3390" t="str">
            <v>SINGLE PHASE ENERGY METER, EM113016-04, M-2021120002, 220V, 5(80)A, 1600 IMP/KWH, BUILT IN RELAY</v>
          </cell>
          <cell r="E3390">
            <v>0</v>
          </cell>
          <cell r="G3390">
            <v>0</v>
          </cell>
        </row>
        <row r="3391">
          <cell r="A3391" t="str">
            <v>SWITCH-SNAP-ACT</v>
          </cell>
          <cell r="B3391" t="str">
            <v>SWITCH SNAP ACT SPDT 100MA 1</v>
          </cell>
          <cell r="E3391">
            <v>0</v>
          </cell>
          <cell r="G3391">
            <v>6</v>
          </cell>
        </row>
        <row r="3392">
          <cell r="A3392" t="str">
            <v>TBB CAB</v>
          </cell>
          <cell r="B3392" t="str">
            <v>Model Q33 Cabinet,  Internal Cabling, fire control system</v>
          </cell>
          <cell r="E3392">
            <v>36795.974999999999</v>
          </cell>
          <cell r="G3392">
            <v>6</v>
          </cell>
        </row>
        <row r="3393">
          <cell r="A3393" t="str">
            <v>TBB E7</v>
          </cell>
          <cell r="B3393" t="str">
            <v>E7 touchscreen</v>
          </cell>
          <cell r="E3393">
            <v>8130.8230800000001</v>
          </cell>
          <cell r="G3393">
            <v>0</v>
          </cell>
        </row>
        <row r="3394">
          <cell r="A3394" t="str">
            <v>TBB HUB</v>
          </cell>
          <cell r="B3394" t="str">
            <v>Communiction Hub &amp; central EMS with wifi</v>
          </cell>
          <cell r="E3394">
            <v>7200.6819999999998</v>
          </cell>
          <cell r="G3394">
            <v>6</v>
          </cell>
        </row>
        <row r="3395">
          <cell r="A3395" t="str">
            <v>TBB-EC4054KIT15</v>
          </cell>
          <cell r="B3395" t="str">
            <v xml:space="preserve">TBB Qoma Cable Kit for 11-15 LH75 Batteries </v>
          </cell>
          <cell r="E3395">
            <v>11456.39</v>
          </cell>
          <cell r="G3395">
            <v>0</v>
          </cell>
        </row>
        <row r="3396">
          <cell r="A3396" t="str">
            <v>TERMINAL</v>
          </cell>
          <cell r="B3396" t="str">
            <v>TERMINAL CONNECTOR</v>
          </cell>
          <cell r="E3396">
            <v>33.550420000000003</v>
          </cell>
          <cell r="G3396">
            <v>0</v>
          </cell>
        </row>
        <row r="3397">
          <cell r="A3397" t="str">
            <v>TEST</v>
          </cell>
          <cell r="B3397" t="str">
            <v/>
          </cell>
          <cell r="E3397">
            <v>0</v>
          </cell>
          <cell r="G3397">
            <v>0</v>
          </cell>
        </row>
        <row r="3398">
          <cell r="A3398" t="str">
            <v>TEST-BAT-INT-PERFORM</v>
          </cell>
          <cell r="B3398" t="str">
            <v>BATTERY INTEGRATED PERFORMANCE TESTER</v>
          </cell>
          <cell r="E3398">
            <v>151879.56</v>
          </cell>
          <cell r="G3398">
            <v>0</v>
          </cell>
        </row>
        <row r="3399">
          <cell r="A3399" t="str">
            <v>TEST-BMS-24S-120A</v>
          </cell>
          <cell r="B3399" t="str">
            <v xml:space="preserve">BMS TESTER 1-24S-120A </v>
          </cell>
          <cell r="E3399">
            <v>98275.11</v>
          </cell>
          <cell r="G3399">
            <v>0</v>
          </cell>
        </row>
        <row r="3400">
          <cell r="A3400" t="str">
            <v>TEST-FAST-CHRGR RND</v>
          </cell>
          <cell r="B3400" t="str">
            <v>FAST CHARGER</v>
          </cell>
          <cell r="E3400">
            <v>12181.07</v>
          </cell>
          <cell r="G3400">
            <v>0</v>
          </cell>
        </row>
        <row r="3401">
          <cell r="A3401" t="str">
            <v>TEST-HP-ENER-FEEDBCK</v>
          </cell>
          <cell r="B3401" t="str">
            <v xml:space="preserve">TESTER HIGH-PRECISION ENEGRY FEEDBACK </v>
          </cell>
          <cell r="E3401">
            <v>288836.78000000003</v>
          </cell>
          <cell r="G3401">
            <v>0</v>
          </cell>
        </row>
        <row r="3402">
          <cell r="A3402" t="str">
            <v>TEST-RASPBERRY-PI-PI</v>
          </cell>
          <cell r="B3402" t="str">
            <v>SC0915 - RASPBERRY PI PICO RP2040 BOA</v>
          </cell>
          <cell r="E3402">
            <v>0</v>
          </cell>
          <cell r="G3402">
            <v>0</v>
          </cell>
        </row>
        <row r="3403">
          <cell r="A3403" t="str">
            <v>TLS-99-SZO-0001</v>
          </cell>
          <cell r="B3403" t="str">
            <v>PRODUCTION STENCIL - 59-1000258 V1.3 MC BACE TOP</v>
          </cell>
          <cell r="E3403">
            <v>3350</v>
          </cell>
          <cell r="G3403">
            <v>0</v>
          </cell>
        </row>
        <row r="3404">
          <cell r="A3404" t="str">
            <v>TLS-99-SZO-0002</v>
          </cell>
          <cell r="B3404" t="str">
            <v>PRODUCTION STENCIL - 59-1000259 V1.3 MC ESP T&amp;B</v>
          </cell>
          <cell r="E3404">
            <v>3350</v>
          </cell>
          <cell r="G3404">
            <v>0</v>
          </cell>
        </row>
        <row r="3405">
          <cell r="A3405" t="str">
            <v>TLS-99-SZO-0003</v>
          </cell>
          <cell r="B3405" t="str">
            <v>PRODUCTION STENCIL - 59-1000261 V1.3 MC LTE T&amp;B</v>
          </cell>
          <cell r="E3405">
            <v>3350</v>
          </cell>
          <cell r="G3405">
            <v>0</v>
          </cell>
        </row>
        <row r="3406">
          <cell r="A3406" t="str">
            <v>TOOL-CRIMP-PLIERS</v>
          </cell>
          <cell r="B3406" t="str">
            <v>UNIVERSAL CRIMPING PLIERS - 1.0 - 1.9MM PA-09</v>
          </cell>
          <cell r="E3406">
            <v>698</v>
          </cell>
          <cell r="G3406">
            <v>0</v>
          </cell>
        </row>
        <row r="3407">
          <cell r="A3407" t="str">
            <v>TOOL-INS-TAPE-BL</v>
          </cell>
          <cell r="B3407" t="str">
            <v>INSULATION TAPE 10M PVC BLACK</v>
          </cell>
          <cell r="E3407">
            <v>16</v>
          </cell>
          <cell r="G3407">
            <v>0</v>
          </cell>
        </row>
        <row r="3408">
          <cell r="A3408" t="str">
            <v>TOOL-MC4 SET</v>
          </cell>
          <cell r="B3408" t="str">
            <v>TOOL FOR MC4 2PCS/SET</v>
          </cell>
          <cell r="E3408">
            <v>0</v>
          </cell>
          <cell r="G3408">
            <v>0</v>
          </cell>
        </row>
        <row r="3409">
          <cell r="A3409" t="str">
            <v>TOOL-RIVETER-PROSET</v>
          </cell>
          <cell r="B3409" t="str">
            <v>RIVETER PROSET XT2</v>
          </cell>
          <cell r="E3409">
            <v>10361</v>
          </cell>
          <cell r="G3409">
            <v>0</v>
          </cell>
        </row>
        <row r="3410">
          <cell r="A3410" t="str">
            <v>TOOL-SIDE-CUTTER</v>
          </cell>
          <cell r="B3410" t="str">
            <v>LOW PROFILE PLIER SIDE CUTTER MICRO SHEAR</v>
          </cell>
          <cell r="E3410">
            <v>40</v>
          </cell>
          <cell r="G3410">
            <v>0</v>
          </cell>
        </row>
        <row r="3411">
          <cell r="A3411" t="str">
            <v>TOOL-SOLDER-IRON-SPO</v>
          </cell>
          <cell r="B3411" t="str">
            <v>SPONGE FOR SOLDER IRON MAGNUM</v>
          </cell>
          <cell r="E3411">
            <v>12</v>
          </cell>
          <cell r="G3411">
            <v>0</v>
          </cell>
        </row>
        <row r="3412">
          <cell r="A3412" t="str">
            <v>TOOL-SOLDER-TIP-1.6M</v>
          </cell>
          <cell r="B3412" t="str">
            <v>SOLDERING TIP MAGNUM ETA SS/T 1.6MM</v>
          </cell>
          <cell r="E3412">
            <v>85</v>
          </cell>
          <cell r="G3412">
            <v>0</v>
          </cell>
        </row>
        <row r="3413">
          <cell r="A3413" t="str">
            <v>TOOL-SOLDER-TIP-2.4M</v>
          </cell>
          <cell r="B3413" t="str">
            <v>SOLDERING TIP MAGNUM ETB S/T 2.4MM</v>
          </cell>
          <cell r="E3413">
            <v>85</v>
          </cell>
          <cell r="G3413">
            <v>0</v>
          </cell>
        </row>
        <row r="3414">
          <cell r="A3414" t="str">
            <v>TOOL-SOLDER-TIP-WEL</v>
          </cell>
          <cell r="B3414" t="str">
            <v>TIP SOLDER WEL/MAG HOLE 35X302MM</v>
          </cell>
          <cell r="E3414">
            <v>81</v>
          </cell>
          <cell r="G3414">
            <v>0</v>
          </cell>
        </row>
        <row r="3415">
          <cell r="A3415" t="str">
            <v>TOOLS-RIVNUT-PROSERT</v>
          </cell>
          <cell r="B3415" t="str">
            <v>RIVNUT TOOL PNEUMATIC PROSERT (M4-M10)</v>
          </cell>
          <cell r="E3415">
            <v>17900</v>
          </cell>
          <cell r="G3415">
            <v>0</v>
          </cell>
        </row>
        <row r="3416">
          <cell r="A3416" t="str">
            <v>TOOL-WIRE-STRIPPER</v>
          </cell>
          <cell r="B3416" t="str">
            <v>SELF ADJUSTING WIRE STRIPPER</v>
          </cell>
          <cell r="E3416">
            <v>0</v>
          </cell>
          <cell r="G3416">
            <v>0</v>
          </cell>
        </row>
        <row r="3417">
          <cell r="A3417" t="str">
            <v>UPS-500W-SIDE-PANEL</v>
          </cell>
          <cell r="B3417" t="str">
            <v>UPS 500W SIDE PANEL - ASSEMBLY</v>
          </cell>
          <cell r="E3417">
            <v>15.65</v>
          </cell>
          <cell r="G3417">
            <v>0</v>
          </cell>
        </row>
        <row r="3418">
          <cell r="A3418" t="str">
            <v>UPS-BOARD-500W-BYPAS</v>
          </cell>
          <cell r="B3418" t="str">
            <v>500W BYPASSER</v>
          </cell>
          <cell r="E3418">
            <v>0</v>
          </cell>
          <cell r="G3418">
            <v>0</v>
          </cell>
        </row>
        <row r="3419">
          <cell r="A3419" t="str">
            <v>UPS-BOARD-500W-FAN</v>
          </cell>
          <cell r="B3419" t="str">
            <v>FAN CONTROLLER BOARD</v>
          </cell>
          <cell r="E3419">
            <v>0</v>
          </cell>
          <cell r="G3419">
            <v>0</v>
          </cell>
        </row>
        <row r="3420">
          <cell r="A3420" t="str">
            <v>UPS-DP1000IL RND</v>
          </cell>
          <cell r="B3420" t="str">
            <v>DPiL Series Portable Power Station - 1.0kVA</v>
          </cell>
          <cell r="E3420">
            <v>23648.38</v>
          </cell>
          <cell r="G3420">
            <v>0</v>
          </cell>
        </row>
        <row r="3421">
          <cell r="A3421" t="str">
            <v>UPS-DP1500IL RND</v>
          </cell>
          <cell r="B3421" t="str">
            <v>DPiL Series Portable Power Station - 1.5kVA</v>
          </cell>
          <cell r="E3421">
            <v>24611.45</v>
          </cell>
          <cell r="G3421">
            <v>0</v>
          </cell>
        </row>
        <row r="3422">
          <cell r="A3422" t="str">
            <v>UPS-DP2000IL RND</v>
          </cell>
          <cell r="B3422" t="str">
            <v>DPiL Series Portable Power Station - 2.0kVA</v>
          </cell>
          <cell r="E3422">
            <v>26377.125</v>
          </cell>
          <cell r="G3422">
            <v>0</v>
          </cell>
        </row>
        <row r="3423">
          <cell r="A3423" t="str">
            <v>UPS-DP2500IL RND</v>
          </cell>
          <cell r="B3423" t="str">
            <v>DPiL Series Portable Power Station - 2.5KV</v>
          </cell>
          <cell r="E3423">
            <v>29426.93</v>
          </cell>
          <cell r="G3423">
            <v>0</v>
          </cell>
        </row>
        <row r="3424">
          <cell r="A3424" t="str">
            <v>VC-POLY-PPREM</v>
          </cell>
          <cell r="B3424" t="str">
            <v>POLY - PREM POLYCOM STUDIO</v>
          </cell>
          <cell r="E3424">
            <v>1193.83</v>
          </cell>
          <cell r="G3424">
            <v>0</v>
          </cell>
        </row>
        <row r="3425">
          <cell r="A3425" t="str">
            <v>VC-POLY-STDIO-DISPLA</v>
          </cell>
          <cell r="B3425" t="str">
            <v>POLY STUDIO DISPLAY MOUNTING KIT</v>
          </cell>
          <cell r="E3425">
            <v>2491.39</v>
          </cell>
          <cell r="G3425">
            <v>0</v>
          </cell>
        </row>
        <row r="3426">
          <cell r="A3426" t="str">
            <v>VC-POLY-STUDIO</v>
          </cell>
          <cell r="B3426" t="str">
            <v>POLYCOM STUDIO: AUDIO/VIDEO USB SOUNDBAR WITH AUTO TRACK</v>
          </cell>
          <cell r="E3426">
            <v>12887.29</v>
          </cell>
          <cell r="G3426">
            <v>0</v>
          </cell>
        </row>
        <row r="3427">
          <cell r="A3427" t="str">
            <v>VC-YEAL-MCOR-KIT</v>
          </cell>
          <cell r="B3427" t="str">
            <v>YEALINK MCORE KIT - MS - NATIVE MICROSOFT TEAMS ROOMS SYSTEM KIT</v>
          </cell>
          <cell r="E3427">
            <v>29977</v>
          </cell>
          <cell r="G3427">
            <v>0</v>
          </cell>
        </row>
        <row r="3428">
          <cell r="A3428" t="str">
            <v>VC-YEAL-WPP20</v>
          </cell>
          <cell r="B3428" t="str">
            <v>YEALINK WPP20 - 1 X WPP20 WIRELESS PRESENTATION POD INCL 1 YEAR AMS</v>
          </cell>
          <cell r="E3428">
            <v>2021.2</v>
          </cell>
          <cell r="G3428">
            <v>0</v>
          </cell>
        </row>
        <row r="3429">
          <cell r="A3429" t="str">
            <v>XRESELLER COMM</v>
          </cell>
          <cell r="B3429" t="str">
            <v>X RESELLER COMMISSION</v>
          </cell>
          <cell r="E3429">
            <v>0</v>
          </cell>
          <cell r="G3429">
            <v>0</v>
          </cell>
        </row>
        <row r="3430">
          <cell r="A3430" t="str">
            <v>XSOLID CLEARNG-SALES</v>
          </cell>
          <cell r="B3430" t="str">
            <v>X SOLID CLEARING - SALES</v>
          </cell>
          <cell r="E3430">
            <v>0</v>
          </cell>
          <cell r="G3430">
            <v>0</v>
          </cell>
        </row>
        <row r="3431">
          <cell r="A3431" t="str">
            <v>ZZ-420000 JOB COC</v>
          </cell>
          <cell r="B3431" t="str">
            <v>ZZ-420000 JOBS COC TO BE COS</v>
          </cell>
          <cell r="E3431">
            <v>826.09</v>
          </cell>
          <cell r="G3431">
            <v>0</v>
          </cell>
        </row>
        <row r="3432">
          <cell r="A3432" t="str">
            <v>ZZ-440000 JOB MAINT</v>
          </cell>
          <cell r="B3432" t="str">
            <v>ZZ-440000 JOBS MAINTENANCE TO BE COS</v>
          </cell>
          <cell r="E3432">
            <v>5116.16</v>
          </cell>
          <cell r="G3432">
            <v>0</v>
          </cell>
        </row>
        <row r="3433">
          <cell r="A3433" t="str">
            <v>ZZ-440000 JOB PNL CL</v>
          </cell>
          <cell r="B3433" t="str">
            <v>ZZ-440000 JOBS SOLAR PANEL CLEAN TO BE COS</v>
          </cell>
          <cell r="E3433">
            <v>260.87</v>
          </cell>
          <cell r="G3433">
            <v>0</v>
          </cell>
        </row>
        <row r="3434">
          <cell r="A3434" t="str">
            <v>ZZ-741050 JOB LABOUR</v>
          </cell>
          <cell r="B3434" t="str">
            <v>ZZ-741050 JOBS LABOUR TO BE EXPENSED</v>
          </cell>
          <cell r="E3434">
            <v>4043.48</v>
          </cell>
          <cell r="G3434">
            <v>0</v>
          </cell>
        </row>
        <row r="3435">
          <cell r="A3435" t="str">
            <v>ZZ-863800 ADNTL CONT</v>
          </cell>
          <cell r="B3435" t="str">
            <v>ZZ-863800 ADDITIONAL CONTRACTOR STOCK USED ON JOB-WIP</v>
          </cell>
          <cell r="E3435">
            <v>521.74</v>
          </cell>
          <cell r="G3435">
            <v>0</v>
          </cell>
        </row>
        <row r="3436">
          <cell r="A3436" t="str">
            <v>ZZ-863800 AMI MET WI</v>
          </cell>
          <cell r="B3436" t="str">
            <v>ZZ-863800 AMI METER REPLACEMENT-WIP</v>
          </cell>
          <cell r="E3436">
            <v>6043.2</v>
          </cell>
          <cell r="G3436">
            <v>0</v>
          </cell>
        </row>
        <row r="3437">
          <cell r="A3437" t="str">
            <v>ZZ-863800 COURIER WI</v>
          </cell>
          <cell r="B3437" t="str">
            <v>ZZ-863800 COURIER COSTS FOR JOB-WIP</v>
          </cell>
          <cell r="E3437">
            <v>0</v>
          </cell>
          <cell r="G3437">
            <v>0</v>
          </cell>
        </row>
        <row r="3438">
          <cell r="A3438" t="str">
            <v>ZZ-863800 HANLEY WIP</v>
          </cell>
          <cell r="B3438" t="str">
            <v>ZZ-863800 HANLEY STAND SET-WIP</v>
          </cell>
          <cell r="E3438">
            <v>2000</v>
          </cell>
          <cell r="G3438">
            <v>0</v>
          </cell>
        </row>
        <row r="3439">
          <cell r="A3439" t="str">
            <v>ZZ-863800 LABOUR WIP</v>
          </cell>
          <cell r="B3439" t="str">
            <v>ZZ-863800 LABOUR ON JOB-WIP</v>
          </cell>
          <cell r="E3439">
            <v>4782.6099999999997</v>
          </cell>
          <cell r="G3439">
            <v>0</v>
          </cell>
        </row>
        <row r="3440">
          <cell r="A3440" t="str">
            <v>ZZ-863800 WIP</v>
          </cell>
          <cell r="B3440" t="str">
            <v>DO NOT USE ZZ-863800 WIP</v>
          </cell>
          <cell r="E3440">
            <v>11776.31</v>
          </cell>
          <cell r="G3440" t="e">
            <v>#N/A</v>
          </cell>
        </row>
        <row r="3441">
          <cell r="G3441" t="e">
            <v>#N/A</v>
          </cell>
        </row>
        <row r="3442">
          <cell r="G3442" t="e">
            <v>#N/A</v>
          </cell>
        </row>
        <row r="3443">
          <cell r="G3443" t="e">
            <v>#N/A</v>
          </cell>
        </row>
        <row r="3444">
          <cell r="G3444" t="e">
            <v>#N/A</v>
          </cell>
        </row>
        <row r="3445">
          <cell r="G3445" t="e">
            <v>#N/A</v>
          </cell>
        </row>
        <row r="3446">
          <cell r="G3446" t="e">
            <v>#N/A</v>
          </cell>
        </row>
        <row r="3447">
          <cell r="G3447" t="e">
            <v>#N/A</v>
          </cell>
        </row>
        <row r="3448">
          <cell r="G3448" t="e">
            <v>#N/A</v>
          </cell>
        </row>
        <row r="3449">
          <cell r="G3449" t="e">
            <v>#N/A</v>
          </cell>
        </row>
        <row r="3450">
          <cell r="G3450" t="e">
            <v>#N/A</v>
          </cell>
        </row>
        <row r="3451">
          <cell r="G3451" t="e">
            <v>#N/A</v>
          </cell>
        </row>
        <row r="3452">
          <cell r="G3452" t="e">
            <v>#N/A</v>
          </cell>
        </row>
        <row r="3453">
          <cell r="G3453" t="e">
            <v>#N/A</v>
          </cell>
        </row>
        <row r="3454">
          <cell r="G3454" t="e">
            <v>#N/A</v>
          </cell>
        </row>
        <row r="3455">
          <cell r="G3455" t="e">
            <v>#N/A</v>
          </cell>
        </row>
        <row r="3456">
          <cell r="G3456" t="e">
            <v>#N/A</v>
          </cell>
        </row>
        <row r="3457">
          <cell r="G3457" t="e">
            <v>#N/A</v>
          </cell>
        </row>
        <row r="3458">
          <cell r="G3458" t="e">
            <v>#N/A</v>
          </cell>
        </row>
        <row r="3459">
          <cell r="G3459" t="e">
            <v>#N/A</v>
          </cell>
        </row>
        <row r="3460">
          <cell r="G3460" t="e">
            <v>#N/A</v>
          </cell>
        </row>
        <row r="3461">
          <cell r="G3461" t="e">
            <v>#N/A</v>
          </cell>
        </row>
        <row r="3462">
          <cell r="G3462" t="e">
            <v>#N/A</v>
          </cell>
        </row>
        <row r="3463">
          <cell r="G3463" t="e">
            <v>#N/A</v>
          </cell>
        </row>
        <row r="3464">
          <cell r="G3464" t="e">
            <v>#N/A</v>
          </cell>
        </row>
        <row r="3465">
          <cell r="G3465" t="e">
            <v>#N/A</v>
          </cell>
        </row>
        <row r="3466">
          <cell r="G3466" t="e">
            <v>#N/A</v>
          </cell>
        </row>
        <row r="3467">
          <cell r="G3467" t="e">
            <v>#N/A</v>
          </cell>
        </row>
        <row r="3468">
          <cell r="G3468" t="e">
            <v>#N/A</v>
          </cell>
        </row>
        <row r="3469">
          <cell r="G3469" t="e">
            <v>#N/A</v>
          </cell>
        </row>
        <row r="3470">
          <cell r="G3470" t="e">
            <v>#N/A</v>
          </cell>
        </row>
        <row r="3471">
          <cell r="G3471" t="e">
            <v>#N/A</v>
          </cell>
        </row>
        <row r="3472">
          <cell r="G3472" t="e">
            <v>#N/A</v>
          </cell>
        </row>
        <row r="3473">
          <cell r="G3473" t="e">
            <v>#N/A</v>
          </cell>
        </row>
        <row r="3474">
          <cell r="G3474" t="e">
            <v>#N/A</v>
          </cell>
        </row>
        <row r="3475">
          <cell r="G3475" t="e">
            <v>#N/A</v>
          </cell>
        </row>
        <row r="3476">
          <cell r="G3476" t="e">
            <v>#N/A</v>
          </cell>
        </row>
        <row r="3477">
          <cell r="G3477" t="e">
            <v>#N/A</v>
          </cell>
        </row>
        <row r="3478">
          <cell r="G3478" t="e">
            <v>#N/A</v>
          </cell>
        </row>
        <row r="3479">
          <cell r="G3479" t="e">
            <v>#N/A</v>
          </cell>
        </row>
        <row r="3480">
          <cell r="G3480" t="e">
            <v>#N/A</v>
          </cell>
        </row>
        <row r="3481">
          <cell r="G3481" t="e">
            <v>#N/A</v>
          </cell>
        </row>
        <row r="3482">
          <cell r="G3482" t="e">
            <v>#N/A</v>
          </cell>
        </row>
        <row r="3483">
          <cell r="G3483" t="e">
            <v>#N/A</v>
          </cell>
        </row>
        <row r="3484">
          <cell r="G3484" t="e">
            <v>#N/A</v>
          </cell>
        </row>
        <row r="3485">
          <cell r="G3485" t="e">
            <v>#N/A</v>
          </cell>
        </row>
        <row r="3486">
          <cell r="G3486" t="e">
            <v>#N/A</v>
          </cell>
        </row>
        <row r="3487">
          <cell r="G3487" t="e">
            <v>#N/A</v>
          </cell>
        </row>
        <row r="3488">
          <cell r="G3488" t="e">
            <v>#N/A</v>
          </cell>
        </row>
        <row r="3489">
          <cell r="G3489" t="e">
            <v>#N/A</v>
          </cell>
        </row>
        <row r="3490">
          <cell r="G3490" t="e">
            <v>#N/A</v>
          </cell>
        </row>
        <row r="3491">
          <cell r="G3491" t="e">
            <v>#N/A</v>
          </cell>
        </row>
        <row r="3492">
          <cell r="G3492" t="e">
            <v>#N/A</v>
          </cell>
        </row>
        <row r="3493">
          <cell r="G3493" t="e">
            <v>#N/A</v>
          </cell>
        </row>
        <row r="3494">
          <cell r="G3494" t="e">
            <v>#N/A</v>
          </cell>
        </row>
        <row r="3495">
          <cell r="G3495" t="e">
            <v>#N/A</v>
          </cell>
        </row>
        <row r="3496">
          <cell r="G3496" t="e">
            <v>#N/A</v>
          </cell>
        </row>
        <row r="3497">
          <cell r="G3497" t="e">
            <v>#N/A</v>
          </cell>
        </row>
        <row r="3498">
          <cell r="G3498" t="e">
            <v>#N/A</v>
          </cell>
        </row>
        <row r="3499">
          <cell r="G3499" t="e">
            <v>#N/A</v>
          </cell>
        </row>
        <row r="3500">
          <cell r="G3500" t="e">
            <v>#N/A</v>
          </cell>
        </row>
        <row r="3501">
          <cell r="G3501" t="e">
            <v>#N/A</v>
          </cell>
        </row>
        <row r="3502">
          <cell r="G3502" t="e">
            <v>#N/A</v>
          </cell>
        </row>
        <row r="3503">
          <cell r="G3503" t="e">
            <v>#N/A</v>
          </cell>
        </row>
        <row r="3504">
          <cell r="G3504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B98E-8CAA-47AF-82C8-E86AA7EE64AE}">
  <dimension ref="B1:S46"/>
  <sheetViews>
    <sheetView showGridLines="0" tabSelected="1" topLeftCell="A3" zoomScale="130" zoomScaleNormal="130" workbookViewId="0">
      <selection activeCell="J40" sqref="J40"/>
    </sheetView>
  </sheetViews>
  <sheetFormatPr defaultRowHeight="15" x14ac:dyDescent="0.25"/>
  <cols>
    <col min="2" max="2" width="10.5703125" customWidth="1"/>
    <col min="3" max="3" width="36.7109375" customWidth="1"/>
    <col min="4" max="4" width="4.5703125" customWidth="1"/>
    <col min="5" max="5" width="4.28515625" customWidth="1"/>
    <col min="6" max="6" width="6.7109375" customWidth="1"/>
    <col min="7" max="7" width="10.42578125" bestFit="1" customWidth="1"/>
    <col min="8" max="8" width="9.5703125" customWidth="1"/>
    <col min="9" max="9" width="13.28515625" bestFit="1" customWidth="1"/>
    <col min="10" max="10" width="18.85546875" bestFit="1" customWidth="1"/>
    <col min="11" max="11" width="9.28515625" bestFit="1" customWidth="1"/>
    <col min="12" max="12" width="9.28515625" customWidth="1"/>
    <col min="13" max="13" width="9" bestFit="1" customWidth="1"/>
    <col min="14" max="14" width="10.140625" customWidth="1"/>
    <col min="15" max="15" width="8.140625" customWidth="1"/>
    <col min="16" max="16" width="14.7109375" bestFit="1" customWidth="1"/>
    <col min="18" max="18" width="13.28515625" bestFit="1" customWidth="1"/>
  </cols>
  <sheetData>
    <row r="1" spans="2:19" x14ac:dyDescent="0.25">
      <c r="C1" s="3" t="s">
        <v>0</v>
      </c>
      <c r="D1" s="1">
        <v>30</v>
      </c>
    </row>
    <row r="2" spans="2:19" ht="22.5" x14ac:dyDescent="0.25">
      <c r="B2" s="15" t="s">
        <v>1</v>
      </c>
      <c r="C2" s="16" t="s">
        <v>2</v>
      </c>
      <c r="D2" s="16" t="s">
        <v>3</v>
      </c>
      <c r="E2" s="16" t="s">
        <v>4</v>
      </c>
      <c r="F2" s="17" t="s">
        <v>5</v>
      </c>
      <c r="G2" s="16" t="s">
        <v>6</v>
      </c>
      <c r="H2" s="16" t="s">
        <v>7</v>
      </c>
      <c r="I2" s="25"/>
      <c r="J2" s="4" t="s">
        <v>8</v>
      </c>
      <c r="K2" s="4" t="s">
        <v>9</v>
      </c>
      <c r="L2" s="25"/>
      <c r="M2" s="10" t="s">
        <v>10</v>
      </c>
      <c r="N2" s="10" t="s">
        <v>11</v>
      </c>
      <c r="O2" s="11" t="s">
        <v>12</v>
      </c>
      <c r="P2" s="11" t="s">
        <v>13</v>
      </c>
    </row>
    <row r="3" spans="2:19" ht="9.9499999999999993" customHeight="1" x14ac:dyDescent="0.25">
      <c r="B3" s="30" t="s">
        <v>14</v>
      </c>
      <c r="C3" s="33" t="str">
        <f>_xlfn.XLOOKUP(B3,[1]Sheet1!$A:$A,[1]Sheet1!$B:$B)</f>
        <v>POWER METER, RELAY, RS485</v>
      </c>
      <c r="D3" s="18">
        <v>1</v>
      </c>
      <c r="E3" s="18" t="s">
        <v>15</v>
      </c>
      <c r="F3" s="23">
        <f>_xlfn.XLOOKUP(B3,[1]Sheet1!$A:$A,[1]Sheet1!$E:$E)</f>
        <v>383.05315999999999</v>
      </c>
      <c r="G3" s="23">
        <f t="shared" ref="G3:G31" si="0">D3*F3</f>
        <v>383.05315999999999</v>
      </c>
      <c r="H3" s="21" t="s">
        <v>16</v>
      </c>
      <c r="I3" s="8"/>
      <c r="J3" s="6" t="s">
        <v>17</v>
      </c>
      <c r="K3" s="5" t="s">
        <v>18</v>
      </c>
      <c r="L3" s="8"/>
      <c r="M3" s="12">
        <f>D3*D$1</f>
        <v>30</v>
      </c>
      <c r="N3" s="13">
        <f>G3*D$1</f>
        <v>11491.594799999999</v>
      </c>
      <c r="O3" s="14" t="s">
        <v>17</v>
      </c>
      <c r="P3" s="8" t="s">
        <v>19</v>
      </c>
    </row>
    <row r="4" spans="2:19" ht="9.9499999999999993" customHeight="1" x14ac:dyDescent="0.25">
      <c r="B4" s="30" t="s">
        <v>20</v>
      </c>
      <c r="C4" s="33" t="str">
        <f>_xlfn.XLOOKUP(B4,[1]Sheet1!$A:$A,[1]Sheet1!$B:$B)</f>
        <v>4mm Rail Mount Earth Terminal</v>
      </c>
      <c r="D4" s="18">
        <v>1</v>
      </c>
      <c r="E4" s="18" t="s">
        <v>15</v>
      </c>
      <c r="F4" s="23">
        <f>_xlfn.XLOOKUP(B4,[1]Sheet1!$A:$A,[1]Sheet1!$E:$E)</f>
        <v>24.2</v>
      </c>
      <c r="G4" s="23">
        <f t="shared" si="0"/>
        <v>24.2</v>
      </c>
      <c r="H4" s="21" t="s">
        <v>16</v>
      </c>
      <c r="I4" s="8"/>
      <c r="J4" s="6" t="s">
        <v>17</v>
      </c>
      <c r="K4" s="5" t="s">
        <v>18</v>
      </c>
      <c r="L4" s="8"/>
      <c r="M4" s="12">
        <f t="shared" ref="M4:M16" si="1">D4*D$1</f>
        <v>30</v>
      </c>
      <c r="N4" s="13">
        <f t="shared" ref="N4:N16" si="2">G4*D$1</f>
        <v>726</v>
      </c>
      <c r="O4" s="8">
        <f>(_xlfn.XLOOKUP(B4,[1]Sheet1!$A:$A,[1]Sheet1!$G:$G))-(D$1*D4)</f>
        <v>44</v>
      </c>
      <c r="P4" s="8"/>
    </row>
    <row r="5" spans="2:19" ht="9.9499999999999993" customHeight="1" x14ac:dyDescent="0.25">
      <c r="B5" s="30" t="s">
        <v>21</v>
      </c>
      <c r="C5" s="33" t="str">
        <f>_xlfn.XLOOKUP(B5,[1]Sheet1!$A:$A,[1]Sheet1!$B:$B)</f>
        <v>GLAND, 20, BLACK</v>
      </c>
      <c r="D5" s="18">
        <v>2</v>
      </c>
      <c r="E5" s="18" t="s">
        <v>15</v>
      </c>
      <c r="F5" s="23">
        <f>_xlfn.XLOOKUP(B5,[1]Sheet1!$A:$A,[1]Sheet1!$E:$E)</f>
        <v>3.2433999999999998</v>
      </c>
      <c r="G5" s="23">
        <f t="shared" si="0"/>
        <v>6.4867999999999997</v>
      </c>
      <c r="H5" s="21" t="s">
        <v>16</v>
      </c>
      <c r="I5" s="8"/>
      <c r="J5" s="6" t="s">
        <v>17</v>
      </c>
      <c r="K5" s="5" t="s">
        <v>18</v>
      </c>
      <c r="L5" s="8"/>
      <c r="M5" s="12">
        <f t="shared" si="1"/>
        <v>60</v>
      </c>
      <c r="N5" s="13">
        <f t="shared" si="2"/>
        <v>194.60399999999998</v>
      </c>
      <c r="O5" s="8">
        <f>(_xlfn.XLOOKUP(B5,[1]Sheet1!$A:$A,[1]Sheet1!$G:$G))-(D$1*D5)</f>
        <v>2772</v>
      </c>
      <c r="P5" s="8"/>
    </row>
    <row r="6" spans="2:19" ht="9.9499999999999993" customHeight="1" x14ac:dyDescent="0.25">
      <c r="B6" s="30" t="s">
        <v>22</v>
      </c>
      <c r="C6" s="33" t="str">
        <f>_xlfn.XLOOKUP(B6,[1]Sheet1!$A:$A,[1]Sheet1!$B:$B)</f>
        <v>Cable, Singleflex, 2,5mm2, Black</v>
      </c>
      <c r="D6" s="18">
        <v>1</v>
      </c>
      <c r="E6" s="18" t="s">
        <v>15</v>
      </c>
      <c r="F6" s="23">
        <f>_xlfn.XLOOKUP(B6,[1]Sheet1!$A:$A,[1]Sheet1!$E:$E)</f>
        <v>4.1929499999999997</v>
      </c>
      <c r="G6" s="23">
        <f t="shared" si="0"/>
        <v>4.1929499999999997</v>
      </c>
      <c r="H6" s="21" t="s">
        <v>16</v>
      </c>
      <c r="I6" s="8"/>
      <c r="J6" s="6" t="s">
        <v>17</v>
      </c>
      <c r="K6" s="5" t="s">
        <v>18</v>
      </c>
      <c r="L6" s="8"/>
      <c r="M6" s="12">
        <f t="shared" si="1"/>
        <v>30</v>
      </c>
      <c r="N6" s="13">
        <f t="shared" si="2"/>
        <v>125.7885</v>
      </c>
      <c r="O6" s="8">
        <f>(_xlfn.XLOOKUP(B6,[1]Sheet1!$A:$A,[1]Sheet1!$G:$G))-(D$1*D6)</f>
        <v>30</v>
      </c>
      <c r="P6" s="8"/>
    </row>
    <row r="7" spans="2:19" ht="9.9499999999999993" customHeight="1" x14ac:dyDescent="0.25">
      <c r="B7" s="30" t="s">
        <v>23</v>
      </c>
      <c r="C7" s="33" t="str">
        <f>_xlfn.XLOOKUP(B7,[1]Sheet1!$A:$A,[1]Sheet1!$B:$B)</f>
        <v>CABLE ASSY, 0,75MM2, BOOTLACE-BOOTLACE-RING</v>
      </c>
      <c r="D7" s="18">
        <v>1</v>
      </c>
      <c r="E7" s="18" t="s">
        <v>15</v>
      </c>
      <c r="F7" s="23">
        <f>_xlfn.XLOOKUP(B7,[1]Sheet1!$A:$A,[1]Sheet1!$E:$E)</f>
        <v>36.999220000000001</v>
      </c>
      <c r="G7" s="23">
        <f t="shared" si="0"/>
        <v>36.999220000000001</v>
      </c>
      <c r="H7" s="21" t="s">
        <v>16</v>
      </c>
      <c r="I7" s="8"/>
      <c r="J7" s="6" t="s">
        <v>17</v>
      </c>
      <c r="K7" s="5" t="s">
        <v>18</v>
      </c>
      <c r="L7" s="8"/>
      <c r="M7" s="12">
        <f t="shared" si="1"/>
        <v>30</v>
      </c>
      <c r="N7" s="13">
        <f t="shared" si="2"/>
        <v>1109.9766</v>
      </c>
      <c r="O7" s="8">
        <f>(_xlfn.XLOOKUP(B7,[1]Sheet1!$A:$A,[1]Sheet1!$G:$G))-(D$1*D7)</f>
        <v>782</v>
      </c>
      <c r="P7" s="8" t="s">
        <v>19</v>
      </c>
    </row>
    <row r="8" spans="2:19" ht="9.9499999999999993" customHeight="1" x14ac:dyDescent="0.25">
      <c r="B8" s="30" t="s">
        <v>24</v>
      </c>
      <c r="C8" s="33" t="str">
        <f>_xlfn.XLOOKUP(B8,[1]Sheet1!$A:$A,[1]Sheet1!$B:$B)</f>
        <v>FERRULE, BOOTLACE, INSULATED, 2.5X10</v>
      </c>
      <c r="D8" s="18">
        <v>6</v>
      </c>
      <c r="E8" s="18" t="s">
        <v>15</v>
      </c>
      <c r="F8" s="23">
        <f>_xlfn.XLOOKUP(B8,[1]Sheet1!$A:$A,[1]Sheet1!$E:$E)</f>
        <v>0.24729000000000001</v>
      </c>
      <c r="G8" s="23">
        <f t="shared" si="0"/>
        <v>1.4837400000000001</v>
      </c>
      <c r="H8" s="21" t="s">
        <v>16</v>
      </c>
      <c r="I8" s="8"/>
      <c r="J8" s="6" t="s">
        <v>17</v>
      </c>
      <c r="K8" s="5" t="s">
        <v>18</v>
      </c>
      <c r="L8" s="8"/>
      <c r="M8" s="12">
        <f t="shared" si="1"/>
        <v>180</v>
      </c>
      <c r="N8" s="13">
        <f t="shared" si="2"/>
        <v>44.5122</v>
      </c>
      <c r="O8" s="8">
        <f>(_xlfn.XLOOKUP(B8,[1]Sheet1!$A:$A,[1]Sheet1!$G:$G))-(D$1*D8)</f>
        <v>5235</v>
      </c>
      <c r="P8" s="8"/>
    </row>
    <row r="9" spans="2:19" ht="9.9499999999999993" customHeight="1" x14ac:dyDescent="0.25">
      <c r="B9" s="30" t="s">
        <v>25</v>
      </c>
      <c r="C9" s="33" t="str">
        <f>_xlfn.XLOOKUP(B9,[1]Sheet1!$A:$A,[1]Sheet1!$B:$B)</f>
        <v>Ferrule, Bootlace, Insulated, 1x8, Twin</v>
      </c>
      <c r="D9" s="18">
        <v>4</v>
      </c>
      <c r="E9" s="18" t="s">
        <v>15</v>
      </c>
      <c r="F9" s="23">
        <f>_xlfn.XLOOKUP(B9,[1]Sheet1!$A:$A,[1]Sheet1!$E:$E)</f>
        <v>0.31897999999999999</v>
      </c>
      <c r="G9" s="23">
        <f t="shared" si="0"/>
        <v>1.2759199999999999</v>
      </c>
      <c r="H9" s="21" t="s">
        <v>16</v>
      </c>
      <c r="I9" s="8"/>
      <c r="J9" s="6" t="s">
        <v>17</v>
      </c>
      <c r="K9" s="5" t="s">
        <v>18</v>
      </c>
      <c r="L9" s="8"/>
      <c r="M9" s="12">
        <f t="shared" si="1"/>
        <v>120</v>
      </c>
      <c r="N9" s="13">
        <f t="shared" si="2"/>
        <v>38.2776</v>
      </c>
      <c r="O9" s="8">
        <f>(_xlfn.XLOOKUP(B9,[1]Sheet1!$A:$A,[1]Sheet1!$G:$G))-(D$1*D9)</f>
        <v>1356</v>
      </c>
      <c r="P9" s="8"/>
    </row>
    <row r="10" spans="2:19" ht="9.9499999999999993" customHeight="1" x14ac:dyDescent="0.25">
      <c r="B10" s="30" t="s">
        <v>26</v>
      </c>
      <c r="C10" s="33" t="str">
        <f>_xlfn.XLOOKUP(B10,[1]Sheet1!$A:$A,[1]Sheet1!$B:$B)</f>
        <v>Ferrule, Bootlace, Insulated, 0.5x8</v>
      </c>
      <c r="D10" s="18">
        <v>12</v>
      </c>
      <c r="E10" s="18" t="s">
        <v>15</v>
      </c>
      <c r="F10" s="23">
        <f>_xlfn.XLOOKUP(B10,[1]Sheet1!$A:$A,[1]Sheet1!$E:$E)</f>
        <v>0.15265999999999999</v>
      </c>
      <c r="G10" s="23">
        <f t="shared" si="0"/>
        <v>1.8319199999999998</v>
      </c>
      <c r="H10" s="21" t="s">
        <v>16</v>
      </c>
      <c r="I10" s="8"/>
      <c r="J10" s="6" t="s">
        <v>17</v>
      </c>
      <c r="K10" s="5" t="s">
        <v>18</v>
      </c>
      <c r="L10" s="8"/>
      <c r="M10" s="12">
        <f t="shared" si="1"/>
        <v>360</v>
      </c>
      <c r="N10" s="13">
        <f t="shared" si="2"/>
        <v>54.957599999999992</v>
      </c>
      <c r="O10" s="8">
        <f>(_xlfn.XLOOKUP(B10,[1]Sheet1!$A:$A,[1]Sheet1!$G:$G))-(D$1*D10)</f>
        <v>2248</v>
      </c>
      <c r="P10" s="8"/>
    </row>
    <row r="11" spans="2:19" ht="9.9499999999999993" customHeight="1" x14ac:dyDescent="0.25">
      <c r="B11" s="30" t="s">
        <v>27</v>
      </c>
      <c r="C11" s="33" t="str">
        <f>_xlfn.XLOOKUP(B11,[1]Sheet1!$A:$A,[1]Sheet1!$B:$B)</f>
        <v>FERRULE, BOOTLACE, INSULATED, 10X14, TWIN</v>
      </c>
      <c r="D11" s="18">
        <v>1</v>
      </c>
      <c r="E11" s="18" t="s">
        <v>15</v>
      </c>
      <c r="F11" s="23">
        <f>_xlfn.XLOOKUP(B11,[1]Sheet1!$A:$A,[1]Sheet1!$E:$E)</f>
        <v>1.46976</v>
      </c>
      <c r="G11" s="23">
        <f t="shared" si="0"/>
        <v>1.46976</v>
      </c>
      <c r="H11" s="21" t="s">
        <v>16</v>
      </c>
      <c r="I11" s="8"/>
      <c r="J11" s="6" t="s">
        <v>17</v>
      </c>
      <c r="K11" s="5" t="s">
        <v>18</v>
      </c>
      <c r="L11" s="8"/>
      <c r="M11" s="12">
        <f t="shared" si="1"/>
        <v>30</v>
      </c>
      <c r="N11" s="13">
        <f t="shared" si="2"/>
        <v>44.092799999999997</v>
      </c>
      <c r="O11" s="8">
        <f>(_xlfn.XLOOKUP(B11,[1]Sheet1!$A:$A,[1]Sheet1!$G:$G))-(D$1*D11)</f>
        <v>4339</v>
      </c>
      <c r="P11" s="8"/>
    </row>
    <row r="12" spans="2:19" ht="9.9499999999999993" customHeight="1" x14ac:dyDescent="0.25">
      <c r="B12" s="30" t="s">
        <v>28</v>
      </c>
      <c r="C12" s="33" t="str">
        <f>_xlfn.XLOOKUP(B12,[1]Sheet1!$A:$A,[1]Sheet1!$B:$B)</f>
        <v>CABLE, CAT5, 4 PAIR</v>
      </c>
      <c r="D12" s="18">
        <v>0.25</v>
      </c>
      <c r="E12" s="18" t="s">
        <v>29</v>
      </c>
      <c r="F12" s="23">
        <f>_xlfn.XLOOKUP(B12,[1]Sheet1!$A:$A,[1]Sheet1!$E:$E)</f>
        <v>6.9816399999999996</v>
      </c>
      <c r="G12" s="23">
        <f t="shared" si="0"/>
        <v>1.7454099999999999</v>
      </c>
      <c r="H12" s="21" t="s">
        <v>16</v>
      </c>
      <c r="I12" s="8"/>
      <c r="J12" s="6" t="s">
        <v>17</v>
      </c>
      <c r="K12" s="5" t="s">
        <v>18</v>
      </c>
      <c r="L12" s="8"/>
      <c r="M12" s="12">
        <f t="shared" si="1"/>
        <v>7.5</v>
      </c>
      <c r="N12" s="13">
        <f t="shared" si="2"/>
        <v>52.362299999999998</v>
      </c>
      <c r="O12" s="8">
        <f>(_xlfn.XLOOKUP(B12,[1]Sheet1!$A:$A,[1]Sheet1!$G:$G))-(D$1*D12)</f>
        <v>492.5</v>
      </c>
      <c r="P12" s="8"/>
    </row>
    <row r="13" spans="2:19" ht="9.9499999999999993" customHeight="1" x14ac:dyDescent="0.25">
      <c r="B13" s="31" t="s">
        <v>17</v>
      </c>
      <c r="C13" s="33" t="s">
        <v>30</v>
      </c>
      <c r="D13" s="18">
        <v>1</v>
      </c>
      <c r="E13" s="18" t="s">
        <v>15</v>
      </c>
      <c r="F13" s="50">
        <v>256.05849999999998</v>
      </c>
      <c r="G13" s="50">
        <f t="shared" si="0"/>
        <v>256.05849999999998</v>
      </c>
      <c r="H13" s="22" t="s">
        <v>31</v>
      </c>
      <c r="I13" s="8"/>
      <c r="J13" s="5" t="s">
        <v>32</v>
      </c>
      <c r="K13" s="5" t="s">
        <v>33</v>
      </c>
      <c r="L13" s="8"/>
      <c r="M13" s="12">
        <f t="shared" si="1"/>
        <v>30</v>
      </c>
      <c r="N13" s="13">
        <f t="shared" si="2"/>
        <v>7681.7549999999992</v>
      </c>
      <c r="O13" s="8" t="e">
        <f>(_xlfn.XLOOKUP(B13,[1]Sheet1!$A:$A,[1]Sheet1!$G:$G))-(D$1*D13)</f>
        <v>#N/A</v>
      </c>
      <c r="P13" s="8"/>
    </row>
    <row r="14" spans="2:19" ht="9.9499999999999993" customHeight="1" x14ac:dyDescent="0.25">
      <c r="B14" s="31" t="s">
        <v>17</v>
      </c>
      <c r="C14" s="33" t="s">
        <v>34</v>
      </c>
      <c r="D14" s="18">
        <v>1</v>
      </c>
      <c r="E14" s="18" t="s">
        <v>15</v>
      </c>
      <c r="F14" s="50">
        <v>1565.13</v>
      </c>
      <c r="G14" s="50">
        <f t="shared" si="0"/>
        <v>1565.13</v>
      </c>
      <c r="H14" s="22" t="s">
        <v>35</v>
      </c>
      <c r="I14" s="8"/>
      <c r="J14" s="5" t="s">
        <v>36</v>
      </c>
      <c r="K14" s="5" t="s">
        <v>37</v>
      </c>
      <c r="L14" s="8"/>
      <c r="M14" s="12">
        <f t="shared" si="1"/>
        <v>30</v>
      </c>
      <c r="N14" s="13">
        <f t="shared" si="2"/>
        <v>46953.9</v>
      </c>
      <c r="O14" s="8" t="e">
        <f>(_xlfn.XLOOKUP(B14,[1]Sheet1!$A:$A,[1]Sheet1!$G:$G))-(D$1*D14)</f>
        <v>#N/A</v>
      </c>
      <c r="P14" s="8"/>
    </row>
    <row r="15" spans="2:19" ht="9.9499999999999993" customHeight="1" x14ac:dyDescent="0.25">
      <c r="B15" s="31" t="s">
        <v>17</v>
      </c>
      <c r="C15" s="33" t="s">
        <v>38</v>
      </c>
      <c r="D15" s="18">
        <v>1</v>
      </c>
      <c r="E15" s="18" t="s">
        <v>15</v>
      </c>
      <c r="F15" s="23">
        <v>4.1100000000000003</v>
      </c>
      <c r="G15" s="23">
        <f t="shared" si="0"/>
        <v>4.1100000000000003</v>
      </c>
      <c r="H15" s="22" t="s">
        <v>35</v>
      </c>
      <c r="I15" s="8"/>
      <c r="J15" s="5" t="s">
        <v>39</v>
      </c>
      <c r="K15" s="5" t="s">
        <v>37</v>
      </c>
      <c r="L15" s="8"/>
      <c r="M15" s="12">
        <f t="shared" si="1"/>
        <v>30</v>
      </c>
      <c r="N15" s="13">
        <f t="shared" si="2"/>
        <v>123.30000000000001</v>
      </c>
      <c r="O15" s="14" t="s">
        <v>17</v>
      </c>
      <c r="P15" s="8" t="s">
        <v>19</v>
      </c>
      <c r="R15" s="35">
        <v>45795</v>
      </c>
    </row>
    <row r="16" spans="2:19" ht="9.9499999999999993" customHeight="1" x14ac:dyDescent="0.25">
      <c r="B16" s="31" t="s">
        <v>17</v>
      </c>
      <c r="C16" s="33" t="s">
        <v>40</v>
      </c>
      <c r="D16" s="18">
        <v>1.6670000000000001E-2</v>
      </c>
      <c r="E16" s="18" t="s">
        <v>15</v>
      </c>
      <c r="F16" s="50">
        <v>121.65</v>
      </c>
      <c r="G16" s="50">
        <f t="shared" si="0"/>
        <v>2.0279055000000001</v>
      </c>
      <c r="H16" s="22" t="s">
        <v>35</v>
      </c>
      <c r="I16" s="8"/>
      <c r="J16" s="5" t="s">
        <v>41</v>
      </c>
      <c r="K16" s="5" t="s">
        <v>37</v>
      </c>
      <c r="L16" s="8"/>
      <c r="M16" s="12">
        <f t="shared" si="1"/>
        <v>0.50009999999999999</v>
      </c>
      <c r="N16" s="13">
        <f t="shared" si="2"/>
        <v>60.837165000000006</v>
      </c>
      <c r="O16" s="8"/>
      <c r="P16" s="8"/>
      <c r="R16" s="35">
        <v>45841</v>
      </c>
      <c r="S16">
        <f>R16-R15</f>
        <v>46</v>
      </c>
    </row>
    <row r="17" spans="2:19" ht="9.9499999999999993" customHeight="1" x14ac:dyDescent="0.25">
      <c r="B17" s="31" t="s">
        <v>17</v>
      </c>
      <c r="C17" s="33" t="s">
        <v>42</v>
      </c>
      <c r="D17" s="18">
        <v>1</v>
      </c>
      <c r="E17" s="18" t="s">
        <v>15</v>
      </c>
      <c r="F17" s="23">
        <v>121.65</v>
      </c>
      <c r="G17" s="23">
        <f t="shared" si="0"/>
        <v>121.65</v>
      </c>
      <c r="H17" s="22" t="s">
        <v>35</v>
      </c>
      <c r="I17" s="8"/>
      <c r="J17" s="5" t="s">
        <v>43</v>
      </c>
      <c r="K17" s="5" t="s">
        <v>37</v>
      </c>
      <c r="L17" s="8"/>
      <c r="M17" s="8"/>
      <c r="N17" s="8"/>
      <c r="O17" s="8" t="e">
        <f>(_xlfn.XLOOKUP(B17,[1]Sheet1!$A:$A,[1]Sheet1!$G:$G))-(D$1*D17)</f>
        <v>#N/A</v>
      </c>
      <c r="P17" s="8"/>
      <c r="S17">
        <f>S16/31</f>
        <v>1.4838709677419355</v>
      </c>
    </row>
    <row r="18" spans="2:19" ht="9.9499999999999993" customHeight="1" x14ac:dyDescent="0.25">
      <c r="B18" s="31" t="s">
        <v>17</v>
      </c>
      <c r="C18" s="33" t="s">
        <v>44</v>
      </c>
      <c r="D18" s="19">
        <f>3/50</f>
        <v>0.06</v>
      </c>
      <c r="E18" s="18" t="s">
        <v>15</v>
      </c>
      <c r="F18" s="23">
        <v>10</v>
      </c>
      <c r="G18" s="23">
        <f t="shared" si="0"/>
        <v>0.6</v>
      </c>
      <c r="H18" s="22" t="s">
        <v>45</v>
      </c>
      <c r="I18" s="8"/>
      <c r="J18" s="5" t="s">
        <v>46</v>
      </c>
      <c r="K18" s="5" t="s">
        <v>37</v>
      </c>
      <c r="L18" s="8"/>
      <c r="M18" s="8"/>
      <c r="N18" s="8"/>
      <c r="O18" s="8"/>
      <c r="P18" s="8"/>
    </row>
    <row r="19" spans="2:19" ht="9.9499999999999993" customHeight="1" x14ac:dyDescent="0.25">
      <c r="B19" s="31" t="s">
        <v>17</v>
      </c>
      <c r="C19" s="33" t="s">
        <v>47</v>
      </c>
      <c r="D19" s="19">
        <f>23/40</f>
        <v>0.57499999999999996</v>
      </c>
      <c r="E19" s="18" t="s">
        <v>15</v>
      </c>
      <c r="F19" s="23">
        <v>10</v>
      </c>
      <c r="G19" s="23">
        <f t="shared" si="0"/>
        <v>5.75</v>
      </c>
      <c r="H19" s="22" t="s">
        <v>45</v>
      </c>
      <c r="I19" s="8"/>
      <c r="J19" s="5" t="s">
        <v>48</v>
      </c>
      <c r="K19" s="5" t="s">
        <v>37</v>
      </c>
      <c r="L19" s="8"/>
      <c r="M19" s="8"/>
      <c r="N19" s="8"/>
      <c r="O19" s="8"/>
      <c r="P19" s="8"/>
      <c r="R19" s="36">
        <f>G32*30</f>
        <v>104394.61456500001</v>
      </c>
    </row>
    <row r="20" spans="2:19" ht="9.9499999999999993" customHeight="1" x14ac:dyDescent="0.25">
      <c r="B20" s="31" t="s">
        <v>17</v>
      </c>
      <c r="C20" s="33" t="s">
        <v>49</v>
      </c>
      <c r="D20" s="18">
        <f>1/4</f>
        <v>0.25</v>
      </c>
      <c r="E20" s="18" t="s">
        <v>15</v>
      </c>
      <c r="F20" s="23">
        <v>14</v>
      </c>
      <c r="G20" s="23">
        <f t="shared" si="0"/>
        <v>3.5</v>
      </c>
      <c r="H20" s="22" t="s">
        <v>45</v>
      </c>
      <c r="I20" s="8"/>
      <c r="J20" s="5" t="s">
        <v>50</v>
      </c>
      <c r="K20" s="5" t="s">
        <v>37</v>
      </c>
      <c r="L20" s="8"/>
      <c r="M20" s="8"/>
      <c r="N20" s="8"/>
      <c r="O20" s="8"/>
      <c r="P20" s="8"/>
    </row>
    <row r="21" spans="2:19" ht="9.9499999999999993" customHeight="1" x14ac:dyDescent="0.25">
      <c r="B21" s="31" t="s">
        <v>17</v>
      </c>
      <c r="C21" s="33" t="s">
        <v>51</v>
      </c>
      <c r="D21" s="18">
        <v>1</v>
      </c>
      <c r="E21" s="18" t="s">
        <v>15</v>
      </c>
      <c r="F21" s="23">
        <v>46</v>
      </c>
      <c r="G21" s="23">
        <f t="shared" si="0"/>
        <v>46</v>
      </c>
      <c r="H21" s="22" t="s">
        <v>45</v>
      </c>
      <c r="I21" s="8"/>
      <c r="J21" s="5" t="s">
        <v>52</v>
      </c>
      <c r="K21" s="5" t="s">
        <v>37</v>
      </c>
      <c r="L21" s="8"/>
      <c r="M21" s="8"/>
      <c r="N21" s="8"/>
      <c r="O21" s="8"/>
      <c r="P21" s="8"/>
    </row>
    <row r="22" spans="2:19" ht="9.9499999999999993" customHeight="1" x14ac:dyDescent="0.25">
      <c r="B22" s="31" t="s">
        <v>17</v>
      </c>
      <c r="C22" s="33" t="s">
        <v>53</v>
      </c>
      <c r="D22" s="18">
        <f>1/4</f>
        <v>0.25</v>
      </c>
      <c r="E22" s="18" t="s">
        <v>15</v>
      </c>
      <c r="F22" s="23">
        <v>14</v>
      </c>
      <c r="G22" s="23">
        <f t="shared" si="0"/>
        <v>3.5</v>
      </c>
      <c r="H22" s="22" t="s">
        <v>45</v>
      </c>
      <c r="I22" s="8"/>
      <c r="J22" s="5" t="s">
        <v>54</v>
      </c>
      <c r="K22" s="5" t="s">
        <v>37</v>
      </c>
      <c r="L22" s="8"/>
      <c r="M22" s="8"/>
      <c r="N22" s="8"/>
      <c r="O22" s="8"/>
      <c r="P22" s="8"/>
    </row>
    <row r="23" spans="2:19" ht="9.9499999999999993" customHeight="1" x14ac:dyDescent="0.25">
      <c r="B23" s="31" t="s">
        <v>17</v>
      </c>
      <c r="C23" s="33" t="s">
        <v>55</v>
      </c>
      <c r="D23" s="18">
        <v>0.25</v>
      </c>
      <c r="E23" s="18" t="s">
        <v>15</v>
      </c>
      <c r="F23" s="23">
        <v>38</v>
      </c>
      <c r="G23" s="23">
        <f t="shared" si="0"/>
        <v>9.5</v>
      </c>
      <c r="H23" s="22" t="s">
        <v>45</v>
      </c>
      <c r="I23" s="8"/>
      <c r="J23" s="5" t="s">
        <v>56</v>
      </c>
      <c r="K23" s="5" t="s">
        <v>37</v>
      </c>
      <c r="L23" s="8"/>
      <c r="M23" s="8"/>
      <c r="N23" s="8"/>
      <c r="O23" s="8"/>
      <c r="P23" s="8"/>
    </row>
    <row r="24" spans="2:19" ht="9.9499999999999993" customHeight="1" x14ac:dyDescent="0.25">
      <c r="B24" s="31" t="s">
        <v>17</v>
      </c>
      <c r="C24" s="33" t="s">
        <v>57</v>
      </c>
      <c r="D24" s="18">
        <v>1.25</v>
      </c>
      <c r="E24" s="18" t="s">
        <v>15</v>
      </c>
      <c r="F24" s="23">
        <v>10</v>
      </c>
      <c r="G24" s="23">
        <f t="shared" si="0"/>
        <v>12.5</v>
      </c>
      <c r="H24" s="22" t="s">
        <v>45</v>
      </c>
      <c r="I24" s="8"/>
      <c r="J24" s="5" t="s">
        <v>58</v>
      </c>
      <c r="K24" s="5" t="s">
        <v>37</v>
      </c>
      <c r="L24" s="8"/>
      <c r="M24" s="8"/>
      <c r="N24" s="8"/>
      <c r="O24" s="8"/>
      <c r="P24" s="8"/>
    </row>
    <row r="25" spans="2:19" ht="9.9499999999999993" customHeight="1" x14ac:dyDescent="0.25">
      <c r="B25" s="31" t="s">
        <v>17</v>
      </c>
      <c r="C25" s="33" t="s">
        <v>59</v>
      </c>
      <c r="D25" s="18">
        <v>0.2</v>
      </c>
      <c r="E25" s="18" t="s">
        <v>15</v>
      </c>
      <c r="F25" s="23">
        <v>45</v>
      </c>
      <c r="G25" s="23">
        <f t="shared" si="0"/>
        <v>9</v>
      </c>
      <c r="H25" s="22" t="s">
        <v>45</v>
      </c>
      <c r="I25" s="8"/>
      <c r="J25" s="5" t="s">
        <v>60</v>
      </c>
      <c r="K25" s="5" t="s">
        <v>37</v>
      </c>
      <c r="L25" s="8"/>
      <c r="M25" s="8"/>
      <c r="N25" s="8"/>
      <c r="O25" s="8"/>
      <c r="P25" s="8"/>
    </row>
    <row r="26" spans="2:19" ht="9.9499999999999993" customHeight="1" x14ac:dyDescent="0.25">
      <c r="B26" s="31" t="s">
        <v>17</v>
      </c>
      <c r="C26" s="33" t="s">
        <v>61</v>
      </c>
      <c r="D26" s="18">
        <v>0.25</v>
      </c>
      <c r="E26" s="18" t="s">
        <v>15</v>
      </c>
      <c r="F26" s="23">
        <v>4</v>
      </c>
      <c r="G26" s="23">
        <f t="shared" si="0"/>
        <v>1</v>
      </c>
      <c r="H26" s="22" t="s">
        <v>45</v>
      </c>
      <c r="I26" s="8"/>
      <c r="J26" s="5" t="s">
        <v>62</v>
      </c>
      <c r="K26" s="5" t="s">
        <v>37</v>
      </c>
      <c r="L26" s="8"/>
      <c r="M26" s="8"/>
      <c r="N26" s="8"/>
      <c r="O26" s="8"/>
      <c r="P26" s="8"/>
    </row>
    <row r="27" spans="2:19" ht="9.9499999999999993" customHeight="1" x14ac:dyDescent="0.25">
      <c r="B27" s="31" t="s">
        <v>17</v>
      </c>
      <c r="C27" s="33" t="s">
        <v>63</v>
      </c>
      <c r="D27" s="18">
        <v>3</v>
      </c>
      <c r="E27" s="18" t="s">
        <v>15</v>
      </c>
      <c r="F27" s="50">
        <v>60</v>
      </c>
      <c r="G27" s="50">
        <f t="shared" si="0"/>
        <v>180</v>
      </c>
      <c r="H27" s="22" t="s">
        <v>64</v>
      </c>
      <c r="I27" s="8"/>
      <c r="J27" s="5"/>
      <c r="K27" s="5" t="s">
        <v>37</v>
      </c>
      <c r="L27" s="8"/>
      <c r="M27" s="8"/>
      <c r="N27" s="8"/>
      <c r="O27" s="8"/>
      <c r="P27" s="8"/>
    </row>
    <row r="28" spans="2:19" ht="9.9499999999999993" customHeight="1" x14ac:dyDescent="0.25">
      <c r="B28" s="31" t="s">
        <v>17</v>
      </c>
      <c r="C28" s="33" t="s">
        <v>65</v>
      </c>
      <c r="D28" s="18">
        <v>1</v>
      </c>
      <c r="E28" s="18" t="s">
        <v>15</v>
      </c>
      <c r="F28" s="50">
        <v>270</v>
      </c>
      <c r="G28" s="50">
        <f t="shared" si="0"/>
        <v>270</v>
      </c>
      <c r="H28" s="22" t="s">
        <v>64</v>
      </c>
      <c r="I28" s="8"/>
      <c r="J28" s="5"/>
      <c r="K28" s="5" t="s">
        <v>37</v>
      </c>
      <c r="L28" s="8"/>
      <c r="M28" s="8"/>
      <c r="N28" s="8"/>
      <c r="O28" s="8"/>
      <c r="P28" s="8"/>
    </row>
    <row r="29" spans="2:19" ht="9.9499999999999993" customHeight="1" x14ac:dyDescent="0.25">
      <c r="B29" s="31" t="s">
        <v>17</v>
      </c>
      <c r="C29" s="33" t="s">
        <v>66</v>
      </c>
      <c r="D29" s="18">
        <v>1</v>
      </c>
      <c r="E29" s="18" t="s">
        <v>15</v>
      </c>
      <c r="F29" s="23">
        <v>195</v>
      </c>
      <c r="G29" s="23">
        <f t="shared" si="0"/>
        <v>195</v>
      </c>
      <c r="H29" s="22" t="s">
        <v>67</v>
      </c>
      <c r="I29" s="8"/>
      <c r="J29" s="5" t="s">
        <v>68</v>
      </c>
      <c r="K29" s="5" t="s">
        <v>33</v>
      </c>
      <c r="L29" s="8"/>
      <c r="M29" s="8"/>
      <c r="N29" s="8"/>
      <c r="O29" s="8"/>
      <c r="P29" s="8"/>
    </row>
    <row r="30" spans="2:19" ht="9.9499999999999993" customHeight="1" x14ac:dyDescent="0.25">
      <c r="B30" s="31" t="s">
        <v>17</v>
      </c>
      <c r="C30" s="33" t="s">
        <v>69</v>
      </c>
      <c r="D30" s="18">
        <v>1</v>
      </c>
      <c r="E30" s="18" t="s">
        <v>15</v>
      </c>
      <c r="F30" s="23">
        <v>327.25</v>
      </c>
      <c r="G30" s="23">
        <f t="shared" si="0"/>
        <v>327.25</v>
      </c>
      <c r="H30" s="21" t="s">
        <v>70</v>
      </c>
      <c r="I30" s="8"/>
      <c r="J30" s="6" t="s">
        <v>71</v>
      </c>
      <c r="K30" s="5" t="s">
        <v>37</v>
      </c>
      <c r="L30" s="8"/>
      <c r="M30" s="8"/>
      <c r="N30" s="8"/>
      <c r="O30" s="8"/>
      <c r="P30" s="8"/>
    </row>
    <row r="31" spans="2:19" ht="9.9499999999999993" customHeight="1" x14ac:dyDescent="0.25">
      <c r="B31" s="32" t="s">
        <v>72</v>
      </c>
      <c r="C31" s="34" t="str">
        <f>_xlfn.XLOOKUP(B31,[1]Sheet1!$A:$A,[1]Sheet1!$B:$B)</f>
        <v>GLAND, 25, BLACK</v>
      </c>
      <c r="D31" s="20">
        <v>1</v>
      </c>
      <c r="E31" s="20" t="s">
        <v>15</v>
      </c>
      <c r="F31" s="24">
        <f>_xlfn.XLOOKUP(B31,[1]Sheet1!$A:$A,[1]Sheet1!$E:$E)</f>
        <v>4.5052000000000003</v>
      </c>
      <c r="G31" s="24">
        <f t="shared" si="0"/>
        <v>4.5052000000000003</v>
      </c>
      <c r="H31" s="26" t="s">
        <v>70</v>
      </c>
      <c r="I31" s="8"/>
      <c r="J31" s="27" t="s">
        <v>73</v>
      </c>
      <c r="K31" s="7" t="s">
        <v>37</v>
      </c>
      <c r="L31" s="8"/>
      <c r="M31" s="8"/>
      <c r="N31" s="8"/>
      <c r="O31" s="8"/>
      <c r="P31" s="8"/>
    </row>
    <row r="32" spans="2:19" ht="12" customHeight="1" thickBot="1" x14ac:dyDescent="0.3">
      <c r="B32" s="28"/>
      <c r="C32" s="28"/>
      <c r="D32" s="28"/>
      <c r="E32" s="28"/>
      <c r="F32" s="28"/>
      <c r="G32" s="51">
        <f>SUM(G3:G31)</f>
        <v>3479.8204855000004</v>
      </c>
      <c r="H32" s="29"/>
      <c r="I32" s="9"/>
      <c r="J32" s="8"/>
      <c r="K32" s="9"/>
      <c r="L32" s="9"/>
      <c r="M32" s="8"/>
      <c r="N32" s="8"/>
      <c r="O32" s="8"/>
      <c r="P32" s="8"/>
    </row>
    <row r="33" spans="2:9" ht="12" customHeight="1" thickTop="1" x14ac:dyDescent="0.25"/>
    <row r="34" spans="2:9" ht="12" customHeight="1" x14ac:dyDescent="0.25">
      <c r="C34" s="58" t="s">
        <v>74</v>
      </c>
      <c r="D34" s="58"/>
      <c r="E34" s="58"/>
      <c r="F34" s="58"/>
      <c r="G34" s="39"/>
      <c r="I34" s="36"/>
    </row>
    <row r="35" spans="2:9" ht="12" customHeight="1" x14ac:dyDescent="0.25">
      <c r="B35" s="43"/>
      <c r="C35" s="40" t="s">
        <v>30</v>
      </c>
      <c r="D35" s="41">
        <v>5</v>
      </c>
      <c r="E35" s="41" t="s">
        <v>15</v>
      </c>
      <c r="F35" s="42">
        <f>F13</f>
        <v>256.05849999999998</v>
      </c>
      <c r="G35" s="42">
        <f>D35*F35</f>
        <v>1280.2925</v>
      </c>
      <c r="H35" s="37"/>
      <c r="I35" s="38"/>
    </row>
    <row r="36" spans="2:9" ht="12" customHeight="1" x14ac:dyDescent="0.25">
      <c r="B36" s="43"/>
      <c r="C36" s="40" t="s">
        <v>34</v>
      </c>
      <c r="D36" s="41">
        <v>5</v>
      </c>
      <c r="E36" s="41" t="s">
        <v>15</v>
      </c>
      <c r="F36" s="42">
        <f>F14</f>
        <v>1565.13</v>
      </c>
      <c r="G36" s="42">
        <f>D36*F36</f>
        <v>7825.6500000000005</v>
      </c>
      <c r="H36" s="37"/>
      <c r="I36" s="38"/>
    </row>
    <row r="37" spans="2:9" ht="12" customHeight="1" x14ac:dyDescent="0.25">
      <c r="B37" s="43"/>
      <c r="C37" s="40" t="s">
        <v>38</v>
      </c>
      <c r="D37" s="41">
        <v>31</v>
      </c>
      <c r="E37" s="41" t="s">
        <v>15</v>
      </c>
      <c r="F37" s="42">
        <v>4.1100000000000003</v>
      </c>
      <c r="G37" s="42">
        <f>D37*F37</f>
        <v>127.41000000000001</v>
      </c>
      <c r="H37" s="37"/>
      <c r="I37" s="38"/>
    </row>
    <row r="38" spans="2:9" ht="12" customHeight="1" x14ac:dyDescent="0.25">
      <c r="B38" s="43"/>
      <c r="C38" s="40" t="s">
        <v>53</v>
      </c>
      <c r="D38" s="41">
        <v>8</v>
      </c>
      <c r="E38" s="41" t="s">
        <v>15</v>
      </c>
      <c r="F38" s="42">
        <v>14</v>
      </c>
      <c r="G38" s="42">
        <f>D38*F38</f>
        <v>112</v>
      </c>
      <c r="H38" s="37"/>
      <c r="I38" s="38"/>
    </row>
    <row r="39" spans="2:9" ht="12" customHeight="1" x14ac:dyDescent="0.25">
      <c r="B39" s="43"/>
      <c r="C39" s="40" t="s">
        <v>63</v>
      </c>
      <c r="D39" s="41">
        <v>6</v>
      </c>
      <c r="E39" s="41" t="s">
        <v>15</v>
      </c>
      <c r="F39" s="42">
        <f>F27</f>
        <v>60</v>
      </c>
      <c r="G39" s="42">
        <f>D39*F39</f>
        <v>360</v>
      </c>
      <c r="H39" s="37"/>
      <c r="I39" s="38"/>
    </row>
    <row r="40" spans="2:9" ht="12" customHeight="1" thickBot="1" x14ac:dyDescent="0.3">
      <c r="B40" s="43"/>
      <c r="C40" s="45"/>
      <c r="D40" s="46"/>
      <c r="E40" s="46"/>
      <c r="F40" s="47"/>
      <c r="G40" s="49">
        <f>SUM(G35:G39)</f>
        <v>9705.3525000000009</v>
      </c>
      <c r="H40" s="44"/>
      <c r="I40" s="38"/>
    </row>
    <row r="41" spans="2:9" ht="12" customHeight="1" thickTop="1" x14ac:dyDescent="0.25">
      <c r="C41" s="48"/>
      <c r="D41" s="48"/>
      <c r="E41" s="48"/>
      <c r="F41" s="48"/>
      <c r="G41" s="48"/>
      <c r="I41" s="36"/>
    </row>
    <row r="42" spans="2:9" ht="12" customHeight="1" x14ac:dyDescent="0.25">
      <c r="C42" s="52"/>
      <c r="D42" s="52"/>
      <c r="E42" s="52"/>
      <c r="F42" s="53" t="s">
        <v>75</v>
      </c>
      <c r="G42" s="54">
        <f>G32*31</f>
        <v>107874.4350505</v>
      </c>
    </row>
    <row r="43" spans="2:9" ht="12" customHeight="1" x14ac:dyDescent="0.25">
      <c r="C43" s="52"/>
      <c r="D43" s="52"/>
      <c r="E43" s="52"/>
      <c r="F43" s="53" t="s">
        <v>76</v>
      </c>
      <c r="G43" s="54">
        <f>G40*-1</f>
        <v>-9705.3525000000009</v>
      </c>
    </row>
    <row r="44" spans="2:9" ht="12" customHeight="1" thickBot="1" x14ac:dyDescent="0.3">
      <c r="C44" s="52"/>
      <c r="D44" s="52"/>
      <c r="E44" s="55"/>
      <c r="F44" s="56" t="s">
        <v>77</v>
      </c>
      <c r="G44" s="57">
        <f>G42+G43</f>
        <v>98169.082550499996</v>
      </c>
    </row>
    <row r="45" spans="2:9" ht="12" customHeight="1" thickTop="1" x14ac:dyDescent="0.25"/>
    <row r="46" spans="2:9" ht="12" customHeight="1" x14ac:dyDescent="0.25"/>
  </sheetData>
  <mergeCells count="1">
    <mergeCell ref="C34:F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854A-65B6-417B-9D2E-6ABEFF33474A}">
  <dimension ref="A1:N40"/>
  <sheetViews>
    <sheetView workbookViewId="0">
      <selection activeCell="A17" sqref="A17:XFD17"/>
    </sheetView>
  </sheetViews>
  <sheetFormatPr defaultRowHeight="15" x14ac:dyDescent="0.25"/>
  <cols>
    <col min="1" max="1" width="55" bestFit="1" customWidth="1"/>
    <col min="2" max="2" width="14.5703125" bestFit="1" customWidth="1"/>
    <col min="3" max="3" width="20.7109375" bestFit="1" customWidth="1"/>
    <col min="4" max="4" width="20" bestFit="1" customWidth="1"/>
    <col min="5" max="5" width="5" bestFit="1" customWidth="1"/>
    <col min="6" max="6" width="16" bestFit="1" customWidth="1"/>
    <col min="7" max="7" width="14.28515625" bestFit="1" customWidth="1"/>
    <col min="8" max="8" width="8.7109375" bestFit="1" customWidth="1"/>
    <col min="9" max="10" width="13.7109375" bestFit="1" customWidth="1"/>
    <col min="11" max="11" width="10.140625" bestFit="1" customWidth="1"/>
    <col min="12" max="12" width="11" bestFit="1" customWidth="1"/>
    <col min="13" max="13" width="13.85546875" bestFit="1" customWidth="1"/>
    <col min="14" max="14" width="23.42578125" bestFit="1" customWidth="1"/>
  </cols>
  <sheetData>
    <row r="1" spans="1:14" x14ac:dyDescent="0.25">
      <c r="I1" t="s">
        <v>78</v>
      </c>
      <c r="J1" t="s">
        <v>79</v>
      </c>
      <c r="K1">
        <v>31</v>
      </c>
      <c r="L1" t="s">
        <v>80</v>
      </c>
    </row>
    <row r="2" spans="1:14" x14ac:dyDescent="0.25">
      <c r="A2" t="s">
        <v>81</v>
      </c>
      <c r="B2" t="s">
        <v>1</v>
      </c>
      <c r="C2" t="s">
        <v>82</v>
      </c>
      <c r="D2" t="s">
        <v>9</v>
      </c>
      <c r="E2" t="s">
        <v>3</v>
      </c>
      <c r="F2" t="s">
        <v>83</v>
      </c>
      <c r="G2" t="s">
        <v>7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</row>
    <row r="3" spans="1:14" x14ac:dyDescent="0.25">
      <c r="A3" s="2" t="s">
        <v>91</v>
      </c>
      <c r="B3" s="2" t="s">
        <v>92</v>
      </c>
      <c r="C3" s="2" t="s">
        <v>93</v>
      </c>
      <c r="D3" s="2" t="s">
        <v>94</v>
      </c>
      <c r="E3" s="2" t="s">
        <v>95</v>
      </c>
      <c r="F3" s="2">
        <v>1</v>
      </c>
      <c r="G3" s="2" t="s">
        <v>96</v>
      </c>
      <c r="H3" s="2">
        <v>327.25</v>
      </c>
      <c r="I3" s="2">
        <v>327.25</v>
      </c>
      <c r="J3" s="2"/>
      <c r="K3" s="2">
        <v>5</v>
      </c>
      <c r="L3" s="2">
        <v>26</v>
      </c>
      <c r="M3" s="2">
        <v>8508.5</v>
      </c>
      <c r="N3" s="2"/>
    </row>
    <row r="4" spans="1:14" x14ac:dyDescent="0.25">
      <c r="A4" t="s">
        <v>97</v>
      </c>
      <c r="B4" t="s">
        <v>14</v>
      </c>
      <c r="C4" t="s">
        <v>93</v>
      </c>
      <c r="D4" t="s">
        <v>98</v>
      </c>
      <c r="E4" t="s">
        <v>95</v>
      </c>
      <c r="F4">
        <v>1</v>
      </c>
      <c r="G4" t="s">
        <v>96</v>
      </c>
      <c r="H4">
        <v>382.75</v>
      </c>
      <c r="I4">
        <v>382.75</v>
      </c>
      <c r="K4">
        <v>5</v>
      </c>
      <c r="L4">
        <v>26</v>
      </c>
      <c r="M4">
        <v>9951.5</v>
      </c>
    </row>
    <row r="5" spans="1:14" x14ac:dyDescent="0.25">
      <c r="A5" t="s">
        <v>99</v>
      </c>
      <c r="B5" t="s">
        <v>20</v>
      </c>
      <c r="C5" t="s">
        <v>93</v>
      </c>
      <c r="D5" t="s">
        <v>100</v>
      </c>
      <c r="E5" t="s">
        <v>101</v>
      </c>
      <c r="F5">
        <v>1</v>
      </c>
      <c r="G5" t="s">
        <v>96</v>
      </c>
      <c r="H5">
        <v>4.5599999999999996</v>
      </c>
      <c r="I5">
        <v>9.1199999999999992</v>
      </c>
      <c r="K5">
        <v>10</v>
      </c>
      <c r="L5">
        <v>52</v>
      </c>
      <c r="M5">
        <v>237.11999999999998</v>
      </c>
    </row>
    <row r="6" spans="1:14" x14ac:dyDescent="0.25">
      <c r="A6" t="s">
        <v>102</v>
      </c>
      <c r="B6" t="s">
        <v>21</v>
      </c>
      <c r="C6" t="s">
        <v>93</v>
      </c>
      <c r="D6" t="s">
        <v>103</v>
      </c>
      <c r="E6" t="s">
        <v>101</v>
      </c>
      <c r="F6">
        <v>1</v>
      </c>
      <c r="G6" t="s">
        <v>96</v>
      </c>
      <c r="H6">
        <v>3.2</v>
      </c>
      <c r="I6">
        <v>6.4</v>
      </c>
      <c r="K6">
        <v>0</v>
      </c>
      <c r="L6">
        <v>62</v>
      </c>
      <c r="M6">
        <v>198.4</v>
      </c>
    </row>
    <row r="7" spans="1:14" x14ac:dyDescent="0.25">
      <c r="A7" t="s">
        <v>104</v>
      </c>
      <c r="B7" t="s">
        <v>72</v>
      </c>
      <c r="C7" t="s">
        <v>93</v>
      </c>
      <c r="D7" t="s">
        <v>103</v>
      </c>
      <c r="E7" t="s">
        <v>95</v>
      </c>
      <c r="F7">
        <v>1</v>
      </c>
      <c r="G7" t="s">
        <v>96</v>
      </c>
      <c r="H7">
        <v>4.51</v>
      </c>
      <c r="I7">
        <v>4.51</v>
      </c>
      <c r="K7">
        <v>0</v>
      </c>
      <c r="L7">
        <v>31</v>
      </c>
      <c r="M7">
        <v>139.81</v>
      </c>
    </row>
    <row r="8" spans="1:14" x14ac:dyDescent="0.25">
      <c r="A8" t="s">
        <v>105</v>
      </c>
      <c r="B8" t="s">
        <v>22</v>
      </c>
      <c r="C8" t="s">
        <v>93</v>
      </c>
      <c r="D8" t="s">
        <v>106</v>
      </c>
      <c r="E8" t="s">
        <v>95</v>
      </c>
      <c r="F8">
        <v>1</v>
      </c>
      <c r="G8" t="s">
        <v>96</v>
      </c>
      <c r="H8">
        <v>4.25</v>
      </c>
      <c r="I8">
        <v>4.25</v>
      </c>
      <c r="K8">
        <v>0</v>
      </c>
      <c r="L8">
        <v>31</v>
      </c>
      <c r="M8">
        <v>131.75</v>
      </c>
    </row>
    <row r="9" spans="1:14" x14ac:dyDescent="0.25">
      <c r="A9" t="s">
        <v>107</v>
      </c>
      <c r="B9" t="s">
        <v>23</v>
      </c>
      <c r="C9" t="s">
        <v>93</v>
      </c>
      <c r="D9" t="s">
        <v>106</v>
      </c>
      <c r="E9" t="s">
        <v>95</v>
      </c>
      <c r="F9">
        <v>1</v>
      </c>
      <c r="G9" t="s">
        <v>96</v>
      </c>
      <c r="H9">
        <v>37</v>
      </c>
      <c r="I9">
        <v>37</v>
      </c>
      <c r="K9">
        <v>0</v>
      </c>
      <c r="L9">
        <v>31</v>
      </c>
      <c r="M9">
        <v>1147</v>
      </c>
    </row>
    <row r="10" spans="1:14" x14ac:dyDescent="0.25">
      <c r="A10" t="s">
        <v>108</v>
      </c>
      <c r="B10" t="s">
        <v>24</v>
      </c>
      <c r="C10" t="s">
        <v>109</v>
      </c>
      <c r="D10" t="s">
        <v>110</v>
      </c>
      <c r="E10" t="s">
        <v>111</v>
      </c>
      <c r="F10">
        <v>1</v>
      </c>
      <c r="G10" t="s">
        <v>96</v>
      </c>
      <c r="H10">
        <v>0.25</v>
      </c>
      <c r="I10">
        <v>1.5</v>
      </c>
      <c r="K10">
        <v>0</v>
      </c>
      <c r="L10">
        <v>186</v>
      </c>
      <c r="M10">
        <v>46.5</v>
      </c>
    </row>
    <row r="11" spans="1:14" x14ac:dyDescent="0.25">
      <c r="A11" t="s">
        <v>112</v>
      </c>
      <c r="B11" t="s">
        <v>25</v>
      </c>
      <c r="C11" t="s">
        <v>109</v>
      </c>
      <c r="D11" t="s">
        <v>110</v>
      </c>
      <c r="E11" t="s">
        <v>113</v>
      </c>
      <c r="F11">
        <v>1</v>
      </c>
      <c r="G11" t="s">
        <v>96</v>
      </c>
      <c r="H11">
        <v>0.32</v>
      </c>
      <c r="I11">
        <v>1.28</v>
      </c>
      <c r="K11">
        <v>0</v>
      </c>
      <c r="L11">
        <v>124</v>
      </c>
      <c r="M11">
        <v>39.68</v>
      </c>
    </row>
    <row r="12" spans="1:14" x14ac:dyDescent="0.25">
      <c r="A12" t="s">
        <v>114</v>
      </c>
      <c r="B12" t="s">
        <v>26</v>
      </c>
      <c r="C12" t="s">
        <v>109</v>
      </c>
      <c r="D12" t="s">
        <v>110</v>
      </c>
      <c r="E12" t="s">
        <v>115</v>
      </c>
      <c r="F12">
        <v>1</v>
      </c>
      <c r="G12" t="s">
        <v>96</v>
      </c>
      <c r="H12">
        <v>0.15</v>
      </c>
      <c r="I12">
        <v>1.7999999999999998</v>
      </c>
      <c r="K12">
        <v>0</v>
      </c>
      <c r="L12">
        <v>372</v>
      </c>
      <c r="M12">
        <v>55.8</v>
      </c>
    </row>
    <row r="13" spans="1:14" x14ac:dyDescent="0.25">
      <c r="A13" t="s">
        <v>116</v>
      </c>
      <c r="B13" t="s">
        <v>27</v>
      </c>
      <c r="C13" t="s">
        <v>109</v>
      </c>
      <c r="D13" t="s">
        <v>110</v>
      </c>
      <c r="E13" t="s">
        <v>95</v>
      </c>
      <c r="F13">
        <v>1</v>
      </c>
      <c r="G13" t="s">
        <v>96</v>
      </c>
      <c r="H13">
        <v>1.47</v>
      </c>
      <c r="I13">
        <v>1.47</v>
      </c>
      <c r="K13">
        <v>0</v>
      </c>
      <c r="L13">
        <v>31</v>
      </c>
      <c r="M13">
        <v>45.57</v>
      </c>
    </row>
    <row r="14" spans="1:14" x14ac:dyDescent="0.25">
      <c r="A14" t="s">
        <v>117</v>
      </c>
      <c r="B14" t="s">
        <v>28</v>
      </c>
      <c r="C14" t="s">
        <v>109</v>
      </c>
      <c r="D14" t="s">
        <v>118</v>
      </c>
      <c r="E14">
        <v>0.25</v>
      </c>
      <c r="F14">
        <v>1</v>
      </c>
      <c r="G14" t="s">
        <v>96</v>
      </c>
      <c r="H14">
        <v>6.98</v>
      </c>
      <c r="I14">
        <v>1.7450000000000001</v>
      </c>
      <c r="K14">
        <v>8</v>
      </c>
      <c r="L14">
        <v>-1</v>
      </c>
      <c r="M14">
        <v>0</v>
      </c>
    </row>
    <row r="15" spans="1:14" x14ac:dyDescent="0.25">
      <c r="A15" t="s">
        <v>119</v>
      </c>
      <c r="B15" t="s">
        <v>17</v>
      </c>
      <c r="C15" t="s">
        <v>120</v>
      </c>
      <c r="D15" t="s">
        <v>120</v>
      </c>
      <c r="E15" t="s">
        <v>95</v>
      </c>
      <c r="F15">
        <v>1</v>
      </c>
      <c r="G15" t="s">
        <v>31</v>
      </c>
      <c r="H15">
        <v>251.51</v>
      </c>
      <c r="I15">
        <v>251.51</v>
      </c>
      <c r="K15">
        <v>9</v>
      </c>
      <c r="L15">
        <v>22</v>
      </c>
      <c r="M15">
        <v>5533.2199999999993</v>
      </c>
    </row>
    <row r="16" spans="1:14" x14ac:dyDescent="0.25">
      <c r="A16" t="s">
        <v>121</v>
      </c>
      <c r="B16" t="s">
        <v>17</v>
      </c>
      <c r="C16" t="s">
        <v>120</v>
      </c>
      <c r="D16" t="s">
        <v>122</v>
      </c>
      <c r="E16">
        <v>10</v>
      </c>
      <c r="F16">
        <v>10</v>
      </c>
      <c r="G16" t="s">
        <v>123</v>
      </c>
      <c r="H16">
        <v>4.9000000000000004</v>
      </c>
      <c r="I16">
        <v>4.9000000000000004</v>
      </c>
      <c r="K16">
        <v>31</v>
      </c>
      <c r="L16">
        <v>28</v>
      </c>
      <c r="M16">
        <v>0</v>
      </c>
      <c r="N16" t="s">
        <v>124</v>
      </c>
    </row>
    <row r="17" spans="1:14" x14ac:dyDescent="0.25">
      <c r="A17" t="s">
        <v>125</v>
      </c>
      <c r="B17" t="s">
        <v>17</v>
      </c>
      <c r="C17" t="s">
        <v>120</v>
      </c>
      <c r="D17" t="s">
        <v>122</v>
      </c>
      <c r="E17">
        <v>5</v>
      </c>
      <c r="F17">
        <v>10</v>
      </c>
      <c r="G17" t="s">
        <v>123</v>
      </c>
      <c r="H17">
        <v>9.9</v>
      </c>
      <c r="I17">
        <v>4.95</v>
      </c>
      <c r="K17">
        <v>0</v>
      </c>
      <c r="L17">
        <v>16</v>
      </c>
      <c r="M17">
        <v>158.4</v>
      </c>
    </row>
    <row r="18" spans="1:14" x14ac:dyDescent="0.25">
      <c r="A18" t="s">
        <v>34</v>
      </c>
      <c r="B18" t="s">
        <v>17</v>
      </c>
      <c r="C18" t="s">
        <v>120</v>
      </c>
      <c r="D18" t="s">
        <v>126</v>
      </c>
      <c r="E18" t="s">
        <v>95</v>
      </c>
      <c r="F18">
        <v>1</v>
      </c>
      <c r="G18" t="s">
        <v>123</v>
      </c>
      <c r="H18">
        <v>1674.9</v>
      </c>
      <c r="I18">
        <v>1674.9</v>
      </c>
      <c r="K18">
        <v>5</v>
      </c>
      <c r="L18">
        <v>26</v>
      </c>
      <c r="M18">
        <v>43547.4</v>
      </c>
      <c r="N18" t="s">
        <v>127</v>
      </c>
    </row>
    <row r="19" spans="1:14" x14ac:dyDescent="0.25">
      <c r="A19" t="s">
        <v>128</v>
      </c>
      <c r="B19" t="s">
        <v>17</v>
      </c>
      <c r="C19" t="s">
        <v>120</v>
      </c>
      <c r="D19" t="s">
        <v>122</v>
      </c>
      <c r="E19" t="s">
        <v>95</v>
      </c>
      <c r="F19">
        <v>1</v>
      </c>
      <c r="G19" t="s">
        <v>123</v>
      </c>
      <c r="H19">
        <v>139.9</v>
      </c>
      <c r="I19">
        <v>139.9</v>
      </c>
      <c r="K19">
        <v>0</v>
      </c>
      <c r="L19">
        <v>31</v>
      </c>
      <c r="M19">
        <v>4336.9000000000005</v>
      </c>
    </row>
    <row r="20" spans="1:14" x14ac:dyDescent="0.25">
      <c r="A20" t="s">
        <v>44</v>
      </c>
      <c r="B20" t="s">
        <v>17</v>
      </c>
      <c r="C20" t="s">
        <v>120</v>
      </c>
      <c r="D20" t="s">
        <v>129</v>
      </c>
      <c r="E20" t="s">
        <v>130</v>
      </c>
      <c r="F20">
        <v>50</v>
      </c>
      <c r="G20" t="s">
        <v>131</v>
      </c>
      <c r="H20">
        <v>20</v>
      </c>
      <c r="I20">
        <v>1.2</v>
      </c>
      <c r="K20">
        <v>0</v>
      </c>
      <c r="L20">
        <v>2</v>
      </c>
      <c r="M20">
        <v>40</v>
      </c>
    </row>
    <row r="21" spans="1:14" x14ac:dyDescent="0.25">
      <c r="A21" t="s">
        <v>132</v>
      </c>
      <c r="B21" t="s">
        <v>17</v>
      </c>
      <c r="C21" t="s">
        <v>120</v>
      </c>
      <c r="D21" t="s">
        <v>129</v>
      </c>
      <c r="E21" t="s">
        <v>133</v>
      </c>
      <c r="F21">
        <v>40</v>
      </c>
      <c r="G21" t="s">
        <v>131</v>
      </c>
      <c r="H21">
        <v>12</v>
      </c>
      <c r="I21">
        <v>6.9</v>
      </c>
      <c r="K21">
        <v>0</v>
      </c>
      <c r="L21">
        <v>18</v>
      </c>
      <c r="M21">
        <v>216</v>
      </c>
    </row>
    <row r="22" spans="1:14" x14ac:dyDescent="0.25">
      <c r="A22" t="s">
        <v>134</v>
      </c>
      <c r="B22" t="s">
        <v>17</v>
      </c>
      <c r="C22" t="s">
        <v>120</v>
      </c>
      <c r="D22" t="s">
        <v>129</v>
      </c>
      <c r="E22" t="s">
        <v>95</v>
      </c>
      <c r="F22">
        <v>4</v>
      </c>
      <c r="G22" t="s">
        <v>131</v>
      </c>
      <c r="H22">
        <v>14</v>
      </c>
      <c r="I22">
        <v>3.5</v>
      </c>
      <c r="K22">
        <v>0</v>
      </c>
      <c r="L22">
        <v>8</v>
      </c>
      <c r="M22">
        <v>112</v>
      </c>
    </row>
    <row r="23" spans="1:14" x14ac:dyDescent="0.25">
      <c r="A23" t="s">
        <v>51</v>
      </c>
      <c r="B23" t="s">
        <v>17</v>
      </c>
      <c r="C23" t="s">
        <v>120</v>
      </c>
      <c r="D23" t="s">
        <v>122</v>
      </c>
      <c r="E23" t="s">
        <v>95</v>
      </c>
      <c r="F23">
        <v>1</v>
      </c>
      <c r="G23" t="s">
        <v>131</v>
      </c>
      <c r="H23">
        <v>46</v>
      </c>
      <c r="I23">
        <v>46</v>
      </c>
      <c r="K23">
        <v>0</v>
      </c>
      <c r="L23">
        <v>31</v>
      </c>
      <c r="M23">
        <v>1426</v>
      </c>
    </row>
    <row r="24" spans="1:14" x14ac:dyDescent="0.25">
      <c r="A24" t="s">
        <v>53</v>
      </c>
      <c r="B24" t="s">
        <v>17</v>
      </c>
      <c r="C24" t="s">
        <v>120</v>
      </c>
      <c r="D24" t="s">
        <v>122</v>
      </c>
      <c r="E24" t="s">
        <v>95</v>
      </c>
      <c r="F24">
        <v>4</v>
      </c>
      <c r="G24" t="s">
        <v>131</v>
      </c>
      <c r="H24">
        <v>18</v>
      </c>
      <c r="I24">
        <v>4.5</v>
      </c>
      <c r="K24">
        <v>0</v>
      </c>
      <c r="L24">
        <v>8</v>
      </c>
      <c r="M24">
        <v>144</v>
      </c>
    </row>
    <row r="25" spans="1:14" x14ac:dyDescent="0.25">
      <c r="A25" t="s">
        <v>135</v>
      </c>
      <c r="B25" t="s">
        <v>17</v>
      </c>
      <c r="C25" t="s">
        <v>120</v>
      </c>
      <c r="D25" t="s">
        <v>122</v>
      </c>
      <c r="E25">
        <v>0.25</v>
      </c>
      <c r="F25">
        <v>5</v>
      </c>
      <c r="G25" t="s">
        <v>131</v>
      </c>
      <c r="H25">
        <v>38</v>
      </c>
      <c r="I25">
        <v>1.9</v>
      </c>
      <c r="K25">
        <v>0</v>
      </c>
      <c r="L25">
        <v>2</v>
      </c>
      <c r="M25">
        <v>76</v>
      </c>
    </row>
    <row r="26" spans="1:14" x14ac:dyDescent="0.25">
      <c r="A26" t="s">
        <v>57</v>
      </c>
      <c r="B26" t="s">
        <v>17</v>
      </c>
      <c r="C26" t="s">
        <v>120</v>
      </c>
      <c r="D26" t="s">
        <v>106</v>
      </c>
      <c r="E26">
        <v>5</v>
      </c>
      <c r="F26">
        <v>4</v>
      </c>
      <c r="G26" t="s">
        <v>131</v>
      </c>
      <c r="H26">
        <v>10</v>
      </c>
      <c r="I26">
        <v>12.5</v>
      </c>
      <c r="K26">
        <v>0</v>
      </c>
      <c r="L26">
        <v>39</v>
      </c>
      <c r="M26">
        <v>390</v>
      </c>
    </row>
    <row r="27" spans="1:14" x14ac:dyDescent="0.25">
      <c r="A27" t="s">
        <v>136</v>
      </c>
      <c r="B27" t="s">
        <v>17</v>
      </c>
      <c r="C27" t="s">
        <v>120</v>
      </c>
      <c r="D27" t="s">
        <v>137</v>
      </c>
      <c r="E27" t="s">
        <v>95</v>
      </c>
      <c r="F27">
        <v>5</v>
      </c>
      <c r="G27" t="s">
        <v>131</v>
      </c>
      <c r="H27">
        <v>45</v>
      </c>
      <c r="I27">
        <v>9</v>
      </c>
      <c r="K27">
        <v>0</v>
      </c>
      <c r="L27">
        <v>7</v>
      </c>
      <c r="M27">
        <v>315</v>
      </c>
    </row>
    <row r="28" spans="1:14" x14ac:dyDescent="0.25">
      <c r="A28" t="s">
        <v>138</v>
      </c>
      <c r="B28" t="s">
        <v>17</v>
      </c>
      <c r="C28" t="s">
        <v>120</v>
      </c>
      <c r="D28" t="s">
        <v>139</v>
      </c>
      <c r="E28" t="s">
        <v>95</v>
      </c>
      <c r="F28">
        <v>4</v>
      </c>
      <c r="G28" t="s">
        <v>131</v>
      </c>
      <c r="H28">
        <v>4</v>
      </c>
      <c r="I28">
        <v>1</v>
      </c>
      <c r="K28">
        <v>0</v>
      </c>
      <c r="L28">
        <v>8</v>
      </c>
      <c r="M28">
        <v>32</v>
      </c>
    </row>
    <row r="29" spans="1:14" x14ac:dyDescent="0.25">
      <c r="A29" t="s">
        <v>63</v>
      </c>
      <c r="B29" t="s">
        <v>17</v>
      </c>
      <c r="C29" t="s">
        <v>120</v>
      </c>
      <c r="D29" t="s">
        <v>140</v>
      </c>
      <c r="E29" t="s">
        <v>130</v>
      </c>
      <c r="F29">
        <v>1</v>
      </c>
      <c r="G29" t="s">
        <v>64</v>
      </c>
      <c r="H29">
        <v>55.73</v>
      </c>
      <c r="I29">
        <v>167.19</v>
      </c>
      <c r="J29">
        <v>55.73</v>
      </c>
      <c r="K29">
        <v>0</v>
      </c>
      <c r="L29">
        <v>93</v>
      </c>
      <c r="M29">
        <v>5182.8899999999994</v>
      </c>
    </row>
    <row r="30" spans="1:14" x14ac:dyDescent="0.25">
      <c r="A30" t="s">
        <v>65</v>
      </c>
      <c r="B30" t="s">
        <v>17</v>
      </c>
      <c r="C30" t="s">
        <v>120</v>
      </c>
      <c r="D30" t="s">
        <v>141</v>
      </c>
      <c r="E30" t="s">
        <v>95</v>
      </c>
      <c r="F30">
        <v>1</v>
      </c>
      <c r="G30" t="s">
        <v>64</v>
      </c>
      <c r="H30">
        <v>270</v>
      </c>
      <c r="I30">
        <v>270</v>
      </c>
      <c r="K30">
        <v>0</v>
      </c>
      <c r="L30">
        <v>31</v>
      </c>
      <c r="M30">
        <v>8370</v>
      </c>
    </row>
    <row r="31" spans="1:14" x14ac:dyDescent="0.25">
      <c r="A31" t="s">
        <v>142</v>
      </c>
      <c r="B31" t="s">
        <v>17</v>
      </c>
      <c r="C31" t="s">
        <v>120</v>
      </c>
      <c r="D31" t="s">
        <v>143</v>
      </c>
      <c r="E31">
        <v>1</v>
      </c>
      <c r="F31">
        <v>1</v>
      </c>
      <c r="G31" t="s">
        <v>144</v>
      </c>
      <c r="H31">
        <v>30</v>
      </c>
      <c r="I31">
        <v>30</v>
      </c>
      <c r="K31">
        <v>0</v>
      </c>
      <c r="L31">
        <v>31</v>
      </c>
      <c r="M31">
        <v>930</v>
      </c>
    </row>
    <row r="32" spans="1:14" x14ac:dyDescent="0.25">
      <c r="A32" t="s">
        <v>145</v>
      </c>
      <c r="B32" t="s">
        <v>17</v>
      </c>
      <c r="C32" t="s">
        <v>120</v>
      </c>
      <c r="D32" t="s">
        <v>146</v>
      </c>
      <c r="E32">
        <v>1</v>
      </c>
      <c r="F32">
        <v>1</v>
      </c>
      <c r="G32" t="s">
        <v>144</v>
      </c>
      <c r="H32">
        <v>115</v>
      </c>
      <c r="I32">
        <v>115</v>
      </c>
      <c r="K32">
        <v>0</v>
      </c>
      <c r="L32">
        <v>31</v>
      </c>
      <c r="M32">
        <v>3565</v>
      </c>
    </row>
    <row r="33" spans="1:13" x14ac:dyDescent="0.25">
      <c r="A33" t="s">
        <v>147</v>
      </c>
      <c r="B33" t="s">
        <v>17</v>
      </c>
      <c r="C33" t="s">
        <v>148</v>
      </c>
      <c r="D33" t="s">
        <v>149</v>
      </c>
      <c r="E33">
        <v>1</v>
      </c>
      <c r="F33">
        <v>1</v>
      </c>
      <c r="G33" t="s">
        <v>144</v>
      </c>
      <c r="H33">
        <v>50</v>
      </c>
      <c r="I33">
        <v>50</v>
      </c>
      <c r="K33">
        <v>0</v>
      </c>
      <c r="L33">
        <v>31</v>
      </c>
      <c r="M33">
        <v>1550</v>
      </c>
    </row>
    <row r="34" spans="1:13" x14ac:dyDescent="0.25">
      <c r="I34">
        <v>3573.9250000000002</v>
      </c>
      <c r="J34">
        <v>3462.4650000000001</v>
      </c>
      <c r="M34">
        <v>96426.439999999988</v>
      </c>
    </row>
    <row r="36" spans="1:13" x14ac:dyDescent="0.25">
      <c r="G36" t="s">
        <v>150</v>
      </c>
      <c r="I36">
        <v>31</v>
      </c>
    </row>
    <row r="37" spans="1:13" x14ac:dyDescent="0.25">
      <c r="F37" t="s">
        <v>67</v>
      </c>
      <c r="G37" t="s">
        <v>151</v>
      </c>
      <c r="H37" t="s">
        <v>152</v>
      </c>
      <c r="I37" t="s">
        <v>153</v>
      </c>
    </row>
    <row r="38" spans="1:13" x14ac:dyDescent="0.25">
      <c r="F38" t="s">
        <v>154</v>
      </c>
      <c r="G38">
        <v>51.1</v>
      </c>
      <c r="H38">
        <v>919.80000000000007</v>
      </c>
      <c r="I38">
        <v>29.670967741935485</v>
      </c>
    </row>
    <row r="39" spans="1:13" x14ac:dyDescent="0.25">
      <c r="F39" t="s">
        <v>155</v>
      </c>
      <c r="G39">
        <v>184.79</v>
      </c>
      <c r="H39">
        <v>3326.22</v>
      </c>
      <c r="I39">
        <v>107.29741935483871</v>
      </c>
    </row>
    <row r="40" spans="1:13" x14ac:dyDescent="0.25">
      <c r="F40" t="s">
        <v>156</v>
      </c>
      <c r="G40">
        <v>74.23</v>
      </c>
      <c r="H40">
        <v>1336.14</v>
      </c>
      <c r="I40">
        <v>43.101290322580645</v>
      </c>
    </row>
  </sheetData>
  <autoFilter ref="A2:N33" xr:uid="{99B1854A-65B6-417B-9D2E-6ABEFF33474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1CD13FB0BDB848B97D01C8DB613749" ma:contentTypeVersion="22" ma:contentTypeDescription="Create a new document." ma:contentTypeScope="" ma:versionID="12f0c2bcdd6b2a13411d2fc0d06b00e6">
  <xsd:schema xmlns:xsd="http://www.w3.org/2001/XMLSchema" xmlns:xs="http://www.w3.org/2001/XMLSchema" xmlns:p="http://schemas.microsoft.com/office/2006/metadata/properties" xmlns:ns2="784d7394-6ce8-4a41-a7b9-f43064da73ac" xmlns:ns3="b6c010af-ed85-49cc-b16a-1bad603ae5c3" targetNamespace="http://schemas.microsoft.com/office/2006/metadata/properties" ma:root="true" ma:fieldsID="e82165d24821e7ed2a9d4eb7f335b0ec" ns2:_="" ns3:_="">
    <xsd:import namespace="784d7394-6ce8-4a41-a7b9-f43064da73ac"/>
    <xsd:import namespace="b6c010af-ed85-49cc-b16a-1bad603ae5c3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4d7394-6ce8-4a41-a7b9-f43064da73ac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igrationWizIdPermissionLevels" ma:index="11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2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3" nillable="true" ma:displayName="MigrationWizIdSecurityGroups" ma:internalName="MigrationWizIdSecurityGroups">
      <xsd:simpleType>
        <xsd:restriction base="dms:Text"/>
      </xsd:simpleType>
    </xsd:element>
    <xsd:element name="lcf76f155ced4ddcb4097134ff3c332f0" ma:index="14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7dee138-48b2-4980-8897-42b9e62c1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c010af-ed85-49cc-b16a-1bad603ae5c3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348b6232-67a7-4124-9962-289d6c7982e7}" ma:internalName="TaxCatchAll" ma:showField="CatchAllData" ma:web="b6c010af-ed85-49cc-b16a-1bad603ae5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c010af-ed85-49cc-b16a-1bad603ae5c3" xsi:nil="true"/>
    <MigrationWizId xmlns="784d7394-6ce8-4a41-a7b9-f43064da73ac" xsi:nil="true"/>
    <MigrationWizIdPermissionLevels xmlns="784d7394-6ce8-4a41-a7b9-f43064da73ac" xsi:nil="true"/>
    <MigrationWizIdDocumentLibraryPermissions xmlns="784d7394-6ce8-4a41-a7b9-f43064da73ac" xsi:nil="true"/>
    <MigrationWizIdVersion xmlns="784d7394-6ce8-4a41-a7b9-f43064da73ac" xsi:nil="true"/>
    <lcf76f155ced4ddcb4097134ff3c332f0 xmlns="784d7394-6ce8-4a41-a7b9-f43064da73ac" xsi:nil="true"/>
    <MigrationWizIdSecurityGroups xmlns="784d7394-6ce8-4a41-a7b9-f43064da73ac" xsi:nil="true"/>
    <lcf76f155ced4ddcb4097134ff3c332f xmlns="784d7394-6ce8-4a41-a7b9-f43064da73ac">
      <Terms xmlns="http://schemas.microsoft.com/office/infopath/2007/PartnerControls"/>
    </lcf76f155ced4ddcb4097134ff3c332f>
    <MigrationWizIdPermissions xmlns="784d7394-6ce8-4a41-a7b9-f43064da73ac" xsi:nil="true"/>
  </documentManagement>
</p:properties>
</file>

<file path=customXml/itemProps1.xml><?xml version="1.0" encoding="utf-8"?>
<ds:datastoreItem xmlns:ds="http://schemas.openxmlformats.org/officeDocument/2006/customXml" ds:itemID="{65A9CBCC-6412-4966-A390-3DDFAD494A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3C58D0-0DFF-4854-B66E-C64A5C9F54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4d7394-6ce8-4a41-a7b9-f43064da73ac"/>
    <ds:schemaRef ds:uri="b6c010af-ed85-49cc-b16a-1bad603ae5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1BF56B-CA1D-4B60-9312-6F71FDEA8173}">
  <ds:schemaRefs>
    <ds:schemaRef ds:uri="http://schemas.microsoft.com/office/2006/metadata/properties"/>
    <ds:schemaRef ds:uri="http://schemas.microsoft.com/office/infopath/2007/PartnerControls"/>
    <ds:schemaRef ds:uri="b6c010af-ed85-49cc-b16a-1bad603ae5c3"/>
    <ds:schemaRef ds:uri="784d7394-6ce8-4a41-a7b9-f43064da73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Du Plooy</dc:creator>
  <cp:keywords/>
  <dc:description/>
  <cp:lastModifiedBy>Liam Witbooi</cp:lastModifiedBy>
  <cp:revision/>
  <dcterms:created xsi:type="dcterms:W3CDTF">2025-05-23T12:15:03Z</dcterms:created>
  <dcterms:modified xsi:type="dcterms:W3CDTF">2025-06-18T13:54:14Z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0x010100B81CD13FB0BDB848B97D01C8DB613749</vt:lpwstr>
  </property>
  <property fmtid="{D5CDD505-2E9C-101B-9397-08002B2CF9AE}" pid="3" name="MediaServiceImageTags">
    <vt:lpwstr/>
  </property>
</Properties>
</file>